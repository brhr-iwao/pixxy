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480" yWindow="330" windowWidth="14655" windowHeight="7905"/>
  </bookViews>
  <sheets>
    <sheet name="人類学的標記点" sheetId="1" r:id="rId1"/>
    <sheet name="人類学的計測長" sheetId="2" r:id="rId2"/>
    <sheet name="人類学的計測指数" sheetId="3" r:id="rId3"/>
    <sheet name="平均" sheetId="5" r:id="rId4"/>
    <sheet name="共分散行列(男)" sheetId="4" r:id="rId5"/>
    <sheet name="共分散行列(女)" sheetId="6" r:id="rId6"/>
    <sheet name="縮減行列と逆行列" sheetId="8" r:id="rId7"/>
    <sheet name="debug" sheetId="7" r:id="rId8"/>
  </sheets>
  <definedNames>
    <definedName name="_xlnm.Print_Area" localSheetId="2">人類学的計測指数!$B$3:$F$28</definedName>
  </definedNames>
  <calcPr calcId="152511"/>
</workbook>
</file>

<file path=xl/calcChain.xml><?xml version="1.0" encoding="utf-8"?>
<calcChain xmlns="http://schemas.openxmlformats.org/spreadsheetml/2006/main">
  <c r="B25" i="6" l="1" a="1"/>
  <c r="S43" i="6" s="1"/>
  <c r="B25" i="4" a="1"/>
  <c r="B25" i="6"/>
  <c r="F25" i="6"/>
  <c r="J25" i="6"/>
  <c r="N25" i="6"/>
  <c r="R25" i="6"/>
  <c r="C26" i="6"/>
  <c r="G26" i="6"/>
  <c r="K26" i="6"/>
  <c r="O26" i="6"/>
  <c r="S26" i="6"/>
  <c r="D27" i="6"/>
  <c r="H27" i="6"/>
  <c r="L27" i="6"/>
  <c r="P27" i="6"/>
  <c r="T27" i="6"/>
  <c r="E28" i="6"/>
  <c r="I28" i="6"/>
  <c r="M28" i="6"/>
  <c r="Q28" i="6"/>
  <c r="B29" i="6"/>
  <c r="F29" i="6"/>
  <c r="J29" i="6"/>
  <c r="N29" i="6"/>
  <c r="R29" i="6"/>
  <c r="C30" i="6"/>
  <c r="G30" i="6"/>
  <c r="K30" i="6"/>
  <c r="O30" i="6"/>
  <c r="S30" i="6"/>
  <c r="D31" i="6"/>
  <c r="H31" i="6"/>
  <c r="L31" i="6"/>
  <c r="P31" i="6"/>
  <c r="T31" i="6"/>
  <c r="E32" i="6"/>
  <c r="I32" i="6"/>
  <c r="M32" i="6"/>
  <c r="Q32" i="6"/>
  <c r="B33" i="6"/>
  <c r="F33" i="6"/>
  <c r="J33" i="6"/>
  <c r="N33" i="6"/>
  <c r="R33" i="6"/>
  <c r="C34" i="6"/>
  <c r="G34" i="6"/>
  <c r="K34" i="6"/>
  <c r="O34" i="6"/>
  <c r="S34" i="6"/>
  <c r="D35" i="6"/>
  <c r="H35" i="6"/>
  <c r="L35" i="6"/>
  <c r="P35" i="6"/>
  <c r="T35" i="6"/>
  <c r="E36" i="6"/>
  <c r="I36" i="6"/>
  <c r="M36" i="6"/>
  <c r="Q36" i="6"/>
  <c r="B37" i="6"/>
  <c r="F37" i="6"/>
  <c r="J37" i="6"/>
  <c r="N37" i="6"/>
  <c r="R37" i="6"/>
  <c r="C38" i="6"/>
  <c r="G38" i="6"/>
  <c r="K38" i="6"/>
  <c r="O38" i="6"/>
  <c r="S38" i="6"/>
  <c r="D39" i="6"/>
  <c r="H39" i="6"/>
  <c r="L39" i="6"/>
  <c r="P39" i="6"/>
  <c r="T39" i="6"/>
  <c r="E40" i="6"/>
  <c r="I40" i="6"/>
  <c r="M40" i="6"/>
  <c r="Q40" i="6"/>
  <c r="B41" i="6"/>
  <c r="F41" i="6"/>
  <c r="J41" i="6"/>
  <c r="N41" i="6"/>
  <c r="R41" i="6"/>
  <c r="C42" i="6"/>
  <c r="G42" i="6"/>
  <c r="K42" i="6"/>
  <c r="M42" i="6"/>
  <c r="O42" i="6"/>
  <c r="Q42" i="6"/>
  <c r="S42" i="6"/>
  <c r="B43" i="6"/>
  <c r="D43" i="6"/>
  <c r="F43" i="6"/>
  <c r="H43" i="6"/>
  <c r="J43" i="6"/>
  <c r="L43" i="6"/>
  <c r="N43" i="6"/>
  <c r="P43" i="6"/>
  <c r="R43" i="6"/>
  <c r="T43" i="6"/>
  <c r="C25" i="6"/>
  <c r="E25" i="6"/>
  <c r="G25" i="6"/>
  <c r="I25" i="6"/>
  <c r="K25" i="6"/>
  <c r="M25" i="6"/>
  <c r="O25" i="6"/>
  <c r="Q25" i="6"/>
  <c r="S25" i="6"/>
  <c r="B26" i="6"/>
  <c r="D26" i="6"/>
  <c r="F26" i="6"/>
  <c r="H26" i="6"/>
  <c r="J26" i="6"/>
  <c r="L26" i="6"/>
  <c r="N26" i="6"/>
  <c r="P26" i="6"/>
  <c r="R26" i="6"/>
  <c r="T26" i="6"/>
  <c r="C27" i="6"/>
  <c r="E27" i="6"/>
  <c r="G27" i="6"/>
  <c r="I27" i="6"/>
  <c r="K27" i="6"/>
  <c r="M27" i="6"/>
  <c r="O27" i="6"/>
  <c r="Q27" i="6"/>
  <c r="S27" i="6"/>
  <c r="B28" i="6"/>
  <c r="D28" i="6"/>
  <c r="F28" i="6"/>
  <c r="H28" i="6"/>
  <c r="J28" i="6"/>
  <c r="L28" i="6"/>
  <c r="N28" i="6"/>
  <c r="P28" i="6"/>
  <c r="R28" i="6"/>
  <c r="T28" i="6"/>
  <c r="C29" i="6"/>
  <c r="E29" i="6"/>
  <c r="G29" i="6"/>
  <c r="I29" i="6"/>
  <c r="K29" i="6"/>
  <c r="M29" i="6"/>
  <c r="O29" i="6"/>
  <c r="Q29" i="6"/>
  <c r="S29" i="6"/>
  <c r="B30" i="6"/>
  <c r="D30" i="6"/>
  <c r="F30" i="6"/>
  <c r="H30" i="6"/>
  <c r="J30" i="6"/>
  <c r="L30" i="6"/>
  <c r="N30" i="6"/>
  <c r="P30" i="6"/>
  <c r="R30" i="6"/>
  <c r="T30" i="6"/>
  <c r="C31" i="6"/>
  <c r="E31" i="6"/>
  <c r="G31" i="6"/>
  <c r="I31" i="6"/>
  <c r="K31" i="6"/>
  <c r="M31" i="6"/>
  <c r="O31" i="6"/>
  <c r="Q31" i="6"/>
  <c r="S31" i="6"/>
  <c r="B32" i="6"/>
  <c r="D32" i="6"/>
  <c r="F32" i="6"/>
  <c r="H32" i="6"/>
  <c r="J32" i="6"/>
  <c r="L32" i="6"/>
  <c r="N32" i="6"/>
  <c r="P32" i="6"/>
  <c r="R32" i="6"/>
  <c r="T32" i="6"/>
  <c r="C33" i="6"/>
  <c r="E33" i="6"/>
  <c r="G33" i="6"/>
  <c r="I33" i="6"/>
  <c r="K33" i="6"/>
  <c r="M33" i="6"/>
  <c r="O33" i="6"/>
  <c r="Q33" i="6"/>
  <c r="S33" i="6"/>
  <c r="B34" i="6"/>
  <c r="D34" i="6"/>
  <c r="F34" i="6"/>
  <c r="H34" i="6"/>
  <c r="J34" i="6"/>
  <c r="L34" i="6"/>
  <c r="N34" i="6"/>
  <c r="P34" i="6"/>
  <c r="R34" i="6"/>
  <c r="T34" i="6"/>
  <c r="C35" i="6"/>
  <c r="E35" i="6"/>
  <c r="G35" i="6"/>
  <c r="I35" i="6"/>
  <c r="K35" i="6"/>
  <c r="M35" i="6"/>
  <c r="O35" i="6"/>
  <c r="Q35" i="6"/>
  <c r="S35" i="6"/>
  <c r="B36" i="6"/>
  <c r="D36" i="6"/>
  <c r="F36" i="6"/>
  <c r="H36" i="6"/>
  <c r="J36" i="6"/>
  <c r="L36" i="6"/>
  <c r="N36" i="6"/>
  <c r="P36" i="6"/>
  <c r="R36" i="6"/>
  <c r="T36" i="6"/>
  <c r="C37" i="6"/>
  <c r="E37" i="6"/>
  <c r="G37" i="6"/>
  <c r="I37" i="6"/>
  <c r="K37" i="6"/>
  <c r="M37" i="6"/>
  <c r="O37" i="6"/>
  <c r="Q37" i="6"/>
  <c r="S37" i="6"/>
  <c r="B38" i="6"/>
  <c r="D38" i="6"/>
  <c r="F38" i="6"/>
  <c r="H38" i="6"/>
  <c r="J38" i="6"/>
  <c r="L38" i="6"/>
  <c r="N38" i="6"/>
  <c r="P38" i="6"/>
  <c r="R38" i="6"/>
  <c r="T38" i="6"/>
  <c r="C39" i="6"/>
  <c r="E39" i="6"/>
  <c r="G39" i="6"/>
  <c r="I39" i="6"/>
  <c r="K39" i="6"/>
  <c r="M39" i="6"/>
  <c r="O39" i="6"/>
  <c r="Q39" i="6"/>
  <c r="S39" i="6"/>
  <c r="B40" i="6"/>
  <c r="D40" i="6"/>
  <c r="F40" i="6"/>
  <c r="H40" i="6"/>
  <c r="J40" i="6"/>
  <c r="L40" i="6"/>
  <c r="N40" i="6"/>
  <c r="P40" i="6"/>
  <c r="R40" i="6"/>
  <c r="T40" i="6"/>
  <c r="C41" i="6"/>
  <c r="E41" i="6"/>
  <c r="G41" i="6"/>
  <c r="I41" i="6"/>
  <c r="K41" i="6"/>
  <c r="M41" i="6"/>
  <c r="O41" i="6"/>
  <c r="Q41" i="6"/>
  <c r="S41" i="6"/>
  <c r="B42" i="6"/>
  <c r="D42" i="6"/>
  <c r="F42" i="6"/>
  <c r="H42" i="6"/>
  <c r="J42" i="6"/>
  <c r="L42" i="6"/>
  <c r="N42" i="6"/>
  <c r="P42" i="6"/>
  <c r="R42" i="6"/>
  <c r="T42" i="6"/>
  <c r="C43" i="6"/>
  <c r="E43" i="6"/>
  <c r="G43" i="6"/>
  <c r="I43" i="6"/>
  <c r="K43" i="6"/>
  <c r="M43" i="6"/>
  <c r="O43" i="6"/>
  <c r="Q43" i="6"/>
  <c r="D25" i="4"/>
  <c r="L25" i="4"/>
  <c r="T25" i="4"/>
  <c r="I26" i="4"/>
  <c r="Q26" i="4"/>
  <c r="F27" i="4"/>
  <c r="N27" i="4"/>
  <c r="C28" i="4"/>
  <c r="K28" i="4"/>
  <c r="S28" i="4"/>
  <c r="H29" i="4"/>
  <c r="P29" i="4"/>
  <c r="E30" i="4"/>
  <c r="M30" i="4"/>
  <c r="B31" i="4"/>
  <c r="J31" i="4"/>
  <c r="R31" i="4"/>
  <c r="G32" i="4"/>
  <c r="O32" i="4"/>
  <c r="D33" i="4"/>
  <c r="L33" i="4"/>
  <c r="T33" i="4"/>
  <c r="I34" i="4"/>
  <c r="Q34" i="4"/>
  <c r="F35" i="4"/>
  <c r="N35" i="4"/>
  <c r="C36" i="4"/>
  <c r="K36" i="4"/>
  <c r="S36" i="4"/>
  <c r="H37" i="4"/>
  <c r="P37" i="4"/>
  <c r="E38" i="4"/>
  <c r="M38" i="4"/>
  <c r="B39" i="4"/>
  <c r="J39" i="4"/>
  <c r="R39" i="4"/>
  <c r="G40" i="4"/>
  <c r="O40" i="4"/>
  <c r="D41" i="4"/>
  <c r="L41" i="4"/>
  <c r="T41" i="4"/>
  <c r="I42" i="4"/>
  <c r="Q42" i="4"/>
  <c r="D43" i="4"/>
  <c r="H43" i="4"/>
  <c r="L43" i="4"/>
  <c r="P43" i="4"/>
  <c r="T43" i="4"/>
  <c r="C25" i="4"/>
  <c r="G25" i="4"/>
  <c r="K25" i="4"/>
  <c r="O25" i="4"/>
  <c r="S25" i="4"/>
  <c r="D26" i="4"/>
  <c r="H26" i="4"/>
  <c r="L26" i="4"/>
  <c r="P26" i="4"/>
  <c r="T26" i="4"/>
  <c r="E27" i="4"/>
  <c r="I27" i="4"/>
  <c r="M27" i="4"/>
  <c r="Q27" i="4"/>
  <c r="B28" i="4"/>
  <c r="F28" i="4"/>
  <c r="J28" i="4"/>
  <c r="N28" i="4"/>
  <c r="R28" i="4"/>
  <c r="C29" i="4"/>
  <c r="G29" i="4"/>
  <c r="K29" i="4"/>
  <c r="O29" i="4"/>
  <c r="S29" i="4"/>
  <c r="D30" i="4"/>
  <c r="H30" i="4"/>
  <c r="L30" i="4"/>
  <c r="P30" i="4"/>
  <c r="T30" i="4"/>
  <c r="E31" i="4"/>
  <c r="I31" i="4"/>
  <c r="M31" i="4"/>
  <c r="Q31" i="4"/>
  <c r="B32" i="4"/>
  <c r="F32" i="4"/>
  <c r="J32" i="4"/>
  <c r="N32" i="4"/>
  <c r="R32" i="4"/>
  <c r="C33" i="4"/>
  <c r="G33" i="4"/>
  <c r="K33" i="4"/>
  <c r="O33" i="4"/>
  <c r="S33" i="4"/>
  <c r="D34" i="4"/>
  <c r="H34" i="4"/>
  <c r="L34" i="4"/>
  <c r="P34" i="4"/>
  <c r="T34" i="4"/>
  <c r="E35" i="4"/>
  <c r="I35" i="4"/>
  <c r="M35" i="4"/>
  <c r="Q35" i="4"/>
  <c r="B36" i="4"/>
  <c r="F36" i="4"/>
  <c r="J36" i="4"/>
  <c r="N36" i="4"/>
  <c r="R36" i="4"/>
  <c r="C37" i="4"/>
  <c r="G37" i="4"/>
  <c r="K37" i="4"/>
  <c r="O37" i="4"/>
  <c r="S37" i="4"/>
  <c r="D38" i="4"/>
  <c r="H38" i="4"/>
  <c r="L38" i="4"/>
  <c r="P38" i="4"/>
  <c r="T38" i="4"/>
  <c r="E39" i="4"/>
  <c r="I39" i="4"/>
  <c r="M39" i="4"/>
  <c r="Q39" i="4"/>
  <c r="B40" i="4"/>
  <c r="F40" i="4"/>
  <c r="J40" i="4"/>
  <c r="N40" i="4"/>
  <c r="R40" i="4"/>
  <c r="C41" i="4"/>
  <c r="G41" i="4"/>
  <c r="K41" i="4"/>
  <c r="O41" i="4"/>
  <c r="S41" i="4"/>
  <c r="D42" i="4"/>
  <c r="H42" i="4"/>
  <c r="L42" i="4"/>
  <c r="P42" i="4"/>
  <c r="T42" i="4"/>
  <c r="E43" i="4"/>
  <c r="I43" i="4"/>
  <c r="M43" i="4"/>
  <c r="Q43" i="4"/>
  <c r="D22" i="2"/>
  <c r="D8" i="2"/>
  <c r="D10" i="2"/>
  <c r="F22" i="3" s="1"/>
  <c r="D20" i="2"/>
  <c r="D18" i="2"/>
  <c r="D2" i="3"/>
  <c r="D15" i="2"/>
  <c r="D21" i="2"/>
  <c r="F19" i="3"/>
  <c r="D19" i="2"/>
  <c r="F18" i="3" s="1"/>
  <c r="D17" i="2"/>
  <c r="F20" i="3" s="1"/>
  <c r="D16" i="2"/>
  <c r="D14" i="2"/>
  <c r="D13" i="2"/>
  <c r="D12" i="2"/>
  <c r="F25" i="3" s="1"/>
  <c r="D11" i="2"/>
  <c r="D9" i="2"/>
  <c r="D7" i="2"/>
  <c r="D6" i="2"/>
  <c r="F17" i="3" s="1"/>
  <c r="F24" i="3"/>
  <c r="F23" i="3"/>
  <c r="F26" i="3"/>
  <c r="F13" i="3"/>
  <c r="F21" i="3" l="1"/>
  <c r="F11" i="3"/>
  <c r="F12" i="3"/>
  <c r="F10" i="3"/>
  <c r="F14" i="3"/>
  <c r="S43" i="4"/>
  <c r="F25" i="4"/>
  <c r="J25" i="4"/>
  <c r="N25" i="4"/>
  <c r="R25" i="4"/>
  <c r="C26" i="4"/>
  <c r="G26" i="4"/>
  <c r="K26" i="4"/>
  <c r="O26" i="4"/>
  <c r="S26" i="4"/>
  <c r="D27" i="4"/>
  <c r="H27" i="4"/>
  <c r="L27" i="4"/>
  <c r="P27" i="4"/>
  <c r="T27" i="4"/>
  <c r="E28" i="4"/>
  <c r="I28" i="4"/>
  <c r="M28" i="4"/>
  <c r="Q28" i="4"/>
  <c r="B29" i="4"/>
  <c r="F29" i="4"/>
  <c r="J29" i="4"/>
  <c r="N29" i="4"/>
  <c r="R29" i="4"/>
  <c r="C30" i="4"/>
  <c r="G30" i="4"/>
  <c r="K30" i="4"/>
  <c r="O30" i="4"/>
  <c r="S30" i="4"/>
  <c r="D31" i="4"/>
  <c r="H31" i="4"/>
  <c r="L31" i="4"/>
  <c r="P31" i="4"/>
  <c r="T31" i="4"/>
  <c r="E32" i="4"/>
  <c r="I32" i="4"/>
  <c r="M32" i="4"/>
  <c r="Q32" i="4"/>
  <c r="B33" i="4"/>
  <c r="F33" i="4"/>
  <c r="J33" i="4"/>
  <c r="N33" i="4"/>
  <c r="R33" i="4"/>
  <c r="C34" i="4"/>
  <c r="G34" i="4"/>
  <c r="K34" i="4"/>
  <c r="O34" i="4"/>
  <c r="S34" i="4"/>
  <c r="D35" i="4"/>
  <c r="H35" i="4"/>
  <c r="L35" i="4"/>
  <c r="P35" i="4"/>
  <c r="T35" i="4"/>
  <c r="E36" i="4"/>
  <c r="I36" i="4"/>
  <c r="M36" i="4"/>
  <c r="Q36" i="4"/>
  <c r="B37" i="4"/>
  <c r="F37" i="4"/>
  <c r="J37" i="4"/>
  <c r="N37" i="4"/>
  <c r="R37" i="4"/>
  <c r="C38" i="4"/>
  <c r="G38" i="4"/>
  <c r="K38" i="4"/>
  <c r="O38" i="4"/>
  <c r="S38" i="4"/>
  <c r="D39" i="4"/>
  <c r="H39" i="4"/>
  <c r="L39" i="4"/>
  <c r="P39" i="4"/>
  <c r="T39" i="4"/>
  <c r="E40" i="4"/>
  <c r="I40" i="4"/>
  <c r="M40" i="4"/>
  <c r="Q40" i="4"/>
  <c r="B41" i="4"/>
  <c r="F41" i="4"/>
  <c r="J41" i="4"/>
  <c r="N41" i="4"/>
  <c r="R41" i="4"/>
  <c r="C42" i="4"/>
  <c r="G42" i="4"/>
  <c r="K42" i="4"/>
  <c r="O42" i="4"/>
  <c r="S42" i="4"/>
  <c r="O43" i="4"/>
  <c r="K43" i="4"/>
  <c r="G43" i="4"/>
  <c r="C43" i="4"/>
  <c r="R42" i="4"/>
  <c r="N42" i="4"/>
  <c r="J42" i="4"/>
  <c r="F42" i="4"/>
  <c r="B42" i="4"/>
  <c r="Q41" i="4"/>
  <c r="M41" i="4"/>
  <c r="I41" i="4"/>
  <c r="E41" i="4"/>
  <c r="T40" i="4"/>
  <c r="P40" i="4"/>
  <c r="L40" i="4"/>
  <c r="H40" i="4"/>
  <c r="D40" i="4"/>
  <c r="S39" i="4"/>
  <c r="O39" i="4"/>
  <c r="K39" i="4"/>
  <c r="G39" i="4"/>
  <c r="C39" i="4"/>
  <c r="R38" i="4"/>
  <c r="N38" i="4"/>
  <c r="J38" i="4"/>
  <c r="F38" i="4"/>
  <c r="B38" i="4"/>
  <c r="Q37" i="4"/>
  <c r="M37" i="4"/>
  <c r="I37" i="4"/>
  <c r="E37" i="4"/>
  <c r="T36" i="4"/>
  <c r="P36" i="4"/>
  <c r="L36" i="4"/>
  <c r="H36" i="4"/>
  <c r="D36" i="4"/>
  <c r="S35" i="4"/>
  <c r="O35" i="4"/>
  <c r="K35" i="4"/>
  <c r="G35" i="4"/>
  <c r="C35" i="4"/>
  <c r="R34" i="4"/>
  <c r="N34" i="4"/>
  <c r="J34" i="4"/>
  <c r="F34" i="4"/>
  <c r="B34" i="4"/>
  <c r="Q33" i="4"/>
  <c r="M33" i="4"/>
  <c r="I33" i="4"/>
  <c r="E33" i="4"/>
  <c r="T32" i="4"/>
  <c r="P32" i="4"/>
  <c r="L32" i="4"/>
  <c r="H32" i="4"/>
  <c r="D32" i="4"/>
  <c r="S31" i="4"/>
  <c r="O31" i="4"/>
  <c r="K31" i="4"/>
  <c r="G31" i="4"/>
  <c r="C31" i="4"/>
  <c r="R30" i="4"/>
  <c r="N30" i="4"/>
  <c r="J30" i="4"/>
  <c r="F30" i="4"/>
  <c r="B30" i="4"/>
  <c r="Q29" i="4"/>
  <c r="M29" i="4"/>
  <c r="I29" i="4"/>
  <c r="E29" i="4"/>
  <c r="T28" i="4"/>
  <c r="P28" i="4"/>
  <c r="L28" i="4"/>
  <c r="H28" i="4"/>
  <c r="D28" i="4"/>
  <c r="S27" i="4"/>
  <c r="O27" i="4"/>
  <c r="K27" i="4"/>
  <c r="G27" i="4"/>
  <c r="C27" i="4"/>
  <c r="R26" i="4"/>
  <c r="N26" i="4"/>
  <c r="J26" i="4"/>
  <c r="F26" i="4"/>
  <c r="B26" i="4"/>
  <c r="Q25" i="4"/>
  <c r="M25" i="4"/>
  <c r="I25" i="4"/>
  <c r="E25" i="4"/>
  <c r="B25" i="4"/>
  <c r="R43" i="4"/>
  <c r="N43" i="4"/>
  <c r="J43" i="4"/>
  <c r="F43" i="4"/>
  <c r="B43" i="4"/>
  <c r="M42" i="4"/>
  <c r="E42" i="4"/>
  <c r="P41" i="4"/>
  <c r="H41" i="4"/>
  <c r="S40" i="4"/>
  <c r="K40" i="4"/>
  <c r="C40" i="4"/>
  <c r="N39" i="4"/>
  <c r="F39" i="4"/>
  <c r="Q38" i="4"/>
  <c r="I38" i="4"/>
  <c r="T37" i="4"/>
  <c r="L37" i="4"/>
  <c r="D37" i="4"/>
  <c r="O36" i="4"/>
  <c r="G36" i="4"/>
  <c r="R35" i="4"/>
  <c r="J35" i="4"/>
  <c r="B35" i="4"/>
  <c r="M34" i="4"/>
  <c r="E34" i="4"/>
  <c r="P33" i="4"/>
  <c r="H33" i="4"/>
  <c r="S32" i="4"/>
  <c r="K32" i="4"/>
  <c r="C32" i="4"/>
  <c r="N31" i="4"/>
  <c r="F31" i="4"/>
  <c r="Q30" i="4"/>
  <c r="I30" i="4"/>
  <c r="T29" i="4"/>
  <c r="L29" i="4"/>
  <c r="D29" i="4"/>
  <c r="O28" i="4"/>
  <c r="G28" i="4"/>
  <c r="R27" i="4"/>
  <c r="J27" i="4"/>
  <c r="B27" i="4"/>
  <c r="M26" i="4"/>
  <c r="E26" i="4"/>
  <c r="P25" i="4"/>
  <c r="H25" i="4"/>
  <c r="I42" i="6"/>
  <c r="E42" i="6"/>
  <c r="T41" i="6"/>
  <c r="P41" i="6"/>
  <c r="L41" i="6"/>
  <c r="H41" i="6"/>
  <c r="D41" i="6"/>
  <c r="S40" i="6"/>
  <c r="O40" i="6"/>
  <c r="K40" i="6"/>
  <c r="G40" i="6"/>
  <c r="C40" i="6"/>
  <c r="R39" i="6"/>
  <c r="N39" i="6"/>
  <c r="J39" i="6"/>
  <c r="F39" i="6"/>
  <c r="B39" i="6"/>
  <c r="Q38" i="6"/>
  <c r="M38" i="6"/>
  <c r="I38" i="6"/>
  <c r="E38" i="6"/>
  <c r="T37" i="6"/>
  <c r="P37" i="6"/>
  <c r="L37" i="6"/>
  <c r="H37" i="6"/>
  <c r="D37" i="6"/>
  <c r="S36" i="6"/>
  <c r="O36" i="6"/>
  <c r="K36" i="6"/>
  <c r="G36" i="6"/>
  <c r="C36" i="6"/>
  <c r="R35" i="6"/>
  <c r="N35" i="6"/>
  <c r="J35" i="6"/>
  <c r="F35" i="6"/>
  <c r="B35" i="6"/>
  <c r="Q34" i="6"/>
  <c r="M34" i="6"/>
  <c r="I34" i="6"/>
  <c r="E34" i="6"/>
  <c r="T33" i="6"/>
  <c r="P33" i="6"/>
  <c r="L33" i="6"/>
  <c r="H33" i="6"/>
  <c r="D33" i="6"/>
  <c r="S32" i="6"/>
  <c r="O32" i="6"/>
  <c r="K32" i="6"/>
  <c r="G32" i="6"/>
  <c r="C32" i="6"/>
  <c r="R31" i="6"/>
  <c r="N31" i="6"/>
  <c r="J31" i="6"/>
  <c r="F31" i="6"/>
  <c r="B31" i="6"/>
  <c r="Q30" i="6"/>
  <c r="M30" i="6"/>
  <c r="I30" i="6"/>
  <c r="E30" i="6"/>
  <c r="T29" i="6"/>
  <c r="P29" i="6"/>
  <c r="L29" i="6"/>
  <c r="H29" i="6"/>
  <c r="D29" i="6"/>
  <c r="S28" i="6"/>
  <c r="O28" i="6"/>
  <c r="K28" i="6"/>
  <c r="G28" i="6"/>
  <c r="C28" i="6"/>
  <c r="R27" i="6"/>
  <c r="N27" i="6"/>
  <c r="J27" i="6"/>
  <c r="F27" i="6"/>
  <c r="B27" i="6"/>
  <c r="Q26" i="6"/>
  <c r="M26" i="6"/>
  <c r="I26" i="6"/>
  <c r="E26" i="6"/>
  <c r="T25" i="6"/>
  <c r="P25" i="6"/>
  <c r="L25" i="6"/>
  <c r="H25" i="6"/>
  <c r="D25" i="6"/>
  <c r="F8" i="3"/>
  <c r="F9" i="3"/>
  <c r="F15" i="3"/>
  <c r="F16" i="3"/>
  <c r="E28" i="3"/>
  <c r="E29" i="3" s="1"/>
  <c r="E31" i="3" l="1"/>
  <c r="E32" i="3"/>
</calcChain>
</file>

<file path=xl/sharedStrings.xml><?xml version="1.0" encoding="utf-8"?>
<sst xmlns="http://schemas.openxmlformats.org/spreadsheetml/2006/main" count="318" uniqueCount="174">
  <si>
    <t>鼻根点</t>
    <rPh sb="0" eb="1">
      <t>ハナ</t>
    </rPh>
    <rPh sb="1" eb="2">
      <t>ネ</t>
    </rPh>
    <rPh sb="2" eb="3">
      <t>テン</t>
    </rPh>
    <phoneticPr fontId="1"/>
  </si>
  <si>
    <t>右内眼角点</t>
    <rPh sb="0" eb="1">
      <t>ミギ</t>
    </rPh>
    <rPh sb="1" eb="2">
      <t>ナイ</t>
    </rPh>
    <rPh sb="2" eb="3">
      <t>ガン</t>
    </rPh>
    <rPh sb="3" eb="5">
      <t>カクテン</t>
    </rPh>
    <phoneticPr fontId="1"/>
  </si>
  <si>
    <t>座標値/ピクセル</t>
    <rPh sb="0" eb="3">
      <t>ザヒョウチ</t>
    </rPh>
    <phoneticPr fontId="1"/>
  </si>
  <si>
    <t>X</t>
    <phoneticPr fontId="1"/>
  </si>
  <si>
    <t>Y</t>
    <phoneticPr fontId="1"/>
  </si>
  <si>
    <t>人類学的標記点</t>
    <rPh sb="0" eb="3">
      <t>ジンルイガク</t>
    </rPh>
    <rPh sb="3" eb="4">
      <t>テキ</t>
    </rPh>
    <rPh sb="4" eb="6">
      <t>ヒョウキ</t>
    </rPh>
    <rPh sb="6" eb="7">
      <t>テン</t>
    </rPh>
    <phoneticPr fontId="1"/>
  </si>
  <si>
    <t>左内眼角点</t>
    <rPh sb="0" eb="1">
      <t>ヒダリ</t>
    </rPh>
    <rPh sb="1" eb="2">
      <t>ナイ</t>
    </rPh>
    <rPh sb="2" eb="3">
      <t>ガン</t>
    </rPh>
    <rPh sb="3" eb="4">
      <t>カク</t>
    </rPh>
    <rPh sb="4" eb="5">
      <t>テン</t>
    </rPh>
    <phoneticPr fontId="1"/>
  </si>
  <si>
    <t>1. 顔画像における人類学的標記点（計測点）の座標値</t>
    <rPh sb="3" eb="4">
      <t>カオ</t>
    </rPh>
    <rPh sb="4" eb="6">
      <t>ガゾウ</t>
    </rPh>
    <rPh sb="10" eb="13">
      <t>ジンルイガク</t>
    </rPh>
    <rPh sb="13" eb="14">
      <t>テキ</t>
    </rPh>
    <rPh sb="14" eb="17">
      <t>ヒョウキテン</t>
    </rPh>
    <rPh sb="18" eb="20">
      <t>ケイソク</t>
    </rPh>
    <rPh sb="20" eb="21">
      <t>テン</t>
    </rPh>
    <rPh sb="23" eb="25">
      <t>ザヒョウ</t>
    </rPh>
    <rPh sb="25" eb="26">
      <t>アタイ</t>
    </rPh>
    <phoneticPr fontId="1"/>
  </si>
  <si>
    <t>右頬骨弓点</t>
    <rPh sb="0" eb="1">
      <t>ミギ</t>
    </rPh>
    <rPh sb="1" eb="2">
      <t>ホホ</t>
    </rPh>
    <rPh sb="2" eb="3">
      <t>ホネ</t>
    </rPh>
    <rPh sb="3" eb="4">
      <t>ユミ</t>
    </rPh>
    <rPh sb="4" eb="5">
      <t>テン</t>
    </rPh>
    <phoneticPr fontId="1"/>
  </si>
  <si>
    <t>左頬骨弓点</t>
    <rPh sb="0" eb="1">
      <t>ヒダリ</t>
    </rPh>
    <rPh sb="1" eb="2">
      <t>ホホ</t>
    </rPh>
    <rPh sb="2" eb="3">
      <t>ホネ</t>
    </rPh>
    <rPh sb="3" eb="4">
      <t>ユミ</t>
    </rPh>
    <rPh sb="4" eb="5">
      <t>テン</t>
    </rPh>
    <phoneticPr fontId="1"/>
  </si>
  <si>
    <t>2. 顔画像における人類学的計測長</t>
    <rPh sb="3" eb="4">
      <t>カオ</t>
    </rPh>
    <rPh sb="4" eb="6">
      <t>ガゾウ</t>
    </rPh>
    <rPh sb="10" eb="12">
      <t>ジンルイ</t>
    </rPh>
    <rPh sb="12" eb="14">
      <t>ガクテキ</t>
    </rPh>
    <rPh sb="14" eb="16">
      <t>ケイソク</t>
    </rPh>
    <rPh sb="16" eb="17">
      <t>チョウ</t>
    </rPh>
    <phoneticPr fontId="1"/>
  </si>
  <si>
    <t>zy-zy</t>
    <phoneticPr fontId="1"/>
  </si>
  <si>
    <t>計測値/ピクセル</t>
    <rPh sb="0" eb="2">
      <t>ケイソク</t>
    </rPh>
    <rPh sb="2" eb="3">
      <t>アタイ</t>
    </rPh>
    <phoneticPr fontId="1"/>
  </si>
  <si>
    <t>計 測 項 目</t>
    <rPh sb="0" eb="1">
      <t>ケイ</t>
    </rPh>
    <rPh sb="2" eb="3">
      <t>ハカル</t>
    </rPh>
    <rPh sb="4" eb="5">
      <t>コウ</t>
    </rPh>
    <rPh sb="6" eb="7">
      <t>メ</t>
    </rPh>
    <phoneticPr fontId="1"/>
  </si>
  <si>
    <t>3. 顔画像における人類学的計測指数</t>
    <rPh sb="3" eb="4">
      <t>カオ</t>
    </rPh>
    <rPh sb="4" eb="6">
      <t>ガゾウ</t>
    </rPh>
    <rPh sb="10" eb="12">
      <t>ジンルイ</t>
    </rPh>
    <rPh sb="12" eb="14">
      <t>ガクテキ</t>
    </rPh>
    <rPh sb="14" eb="16">
      <t>ケイソク</t>
    </rPh>
    <rPh sb="16" eb="18">
      <t>シスウ</t>
    </rPh>
    <phoneticPr fontId="1"/>
  </si>
  <si>
    <t>指　　数　　名</t>
    <rPh sb="0" eb="1">
      <t>ユビ</t>
    </rPh>
    <rPh sb="3" eb="4">
      <t>スウ</t>
    </rPh>
    <rPh sb="6" eb="7">
      <t>メイ</t>
    </rPh>
    <phoneticPr fontId="1"/>
  </si>
  <si>
    <t>形態学的顔指数</t>
    <rPh sb="0" eb="2">
      <t>ケイタイ</t>
    </rPh>
    <rPh sb="2" eb="3">
      <t>ガク</t>
    </rPh>
    <rPh sb="3" eb="4">
      <t>テキ</t>
    </rPh>
    <rPh sb="4" eb="5">
      <t>カオ</t>
    </rPh>
    <rPh sb="5" eb="7">
      <t>シスウ</t>
    </rPh>
    <phoneticPr fontId="1"/>
  </si>
  <si>
    <t>計 測 値</t>
    <rPh sb="0" eb="1">
      <t>ケイ</t>
    </rPh>
    <rPh sb="2" eb="3">
      <t>ハカリ</t>
    </rPh>
    <rPh sb="4" eb="5">
      <t>アタイ</t>
    </rPh>
    <phoneticPr fontId="1"/>
  </si>
  <si>
    <t>morphologic facial index</t>
    <phoneticPr fontId="1"/>
  </si>
  <si>
    <t>n-gn/zy-zy</t>
    <phoneticPr fontId="1"/>
  </si>
  <si>
    <t>オトガイ点</t>
    <rPh sb="4" eb="5">
      <t>テン</t>
    </rPh>
    <phoneticPr fontId="1"/>
  </si>
  <si>
    <t>右下顎角点</t>
    <rPh sb="0" eb="1">
      <t>ミギ</t>
    </rPh>
    <rPh sb="1" eb="3">
      <t>カガク</t>
    </rPh>
    <rPh sb="3" eb="4">
      <t>カド</t>
    </rPh>
    <rPh sb="4" eb="5">
      <t>テン</t>
    </rPh>
    <phoneticPr fontId="1"/>
  </si>
  <si>
    <t>左下顎角点</t>
    <rPh sb="0" eb="1">
      <t>ヒダリ</t>
    </rPh>
    <rPh sb="1" eb="3">
      <t>カガク</t>
    </rPh>
    <rPh sb="3" eb="4">
      <t>カド</t>
    </rPh>
    <rPh sb="4" eb="5">
      <t>テン</t>
    </rPh>
    <phoneticPr fontId="1"/>
  </si>
  <si>
    <t>男</t>
    <rPh sb="0" eb="1">
      <t>オトコ</t>
    </rPh>
    <phoneticPr fontId="1"/>
  </si>
  <si>
    <t>女</t>
    <rPh sb="0" eb="1">
      <t>オンナ</t>
    </rPh>
    <phoneticPr fontId="1"/>
  </si>
  <si>
    <t>右外眼角点</t>
    <rPh sb="0" eb="1">
      <t>ミギ</t>
    </rPh>
    <rPh sb="1" eb="2">
      <t>ソト</t>
    </rPh>
    <rPh sb="2" eb="3">
      <t>ガン</t>
    </rPh>
    <rPh sb="3" eb="4">
      <t>カク</t>
    </rPh>
    <rPh sb="4" eb="5">
      <t>テン</t>
    </rPh>
    <phoneticPr fontId="1"/>
  </si>
  <si>
    <t>左外眼角点</t>
    <rPh sb="0" eb="1">
      <t>ヒダリ</t>
    </rPh>
    <rPh sb="1" eb="2">
      <t>ソト</t>
    </rPh>
    <rPh sb="2" eb="3">
      <t>ガン</t>
    </rPh>
    <rPh sb="3" eb="4">
      <t>カク</t>
    </rPh>
    <rPh sb="4" eb="5">
      <t>テン</t>
    </rPh>
    <phoneticPr fontId="1"/>
  </si>
  <si>
    <t>和 名</t>
    <rPh sb="0" eb="1">
      <t>ワ</t>
    </rPh>
    <rPh sb="2" eb="3">
      <t>メイ</t>
    </rPh>
    <phoneticPr fontId="1"/>
  </si>
  <si>
    <t>英名(ラテン名), 略号</t>
    <rPh sb="0" eb="2">
      <t>エイメイ</t>
    </rPh>
    <rPh sb="6" eb="7">
      <t>メイ</t>
    </rPh>
    <rPh sb="10" eb="12">
      <t>リャクゴウ</t>
    </rPh>
    <phoneticPr fontId="1"/>
  </si>
  <si>
    <t>右鼻翼点</t>
    <rPh sb="0" eb="1">
      <t>ミギ</t>
    </rPh>
    <rPh sb="1" eb="2">
      <t>ハナ</t>
    </rPh>
    <rPh sb="2" eb="3">
      <t>ツバサ</t>
    </rPh>
    <rPh sb="3" eb="4">
      <t>テン</t>
    </rPh>
    <phoneticPr fontId="1"/>
  </si>
  <si>
    <t>左鼻翼点</t>
    <rPh sb="0" eb="1">
      <t>ヒダリ</t>
    </rPh>
    <rPh sb="1" eb="2">
      <t>ハナ</t>
    </rPh>
    <rPh sb="2" eb="3">
      <t>ツバサ</t>
    </rPh>
    <rPh sb="3" eb="4">
      <t>テン</t>
    </rPh>
    <phoneticPr fontId="1"/>
  </si>
  <si>
    <t>鼻下点</t>
    <rPh sb="0" eb="1">
      <t>ハナ</t>
    </rPh>
    <rPh sb="1" eb="2">
      <t>シタ</t>
    </rPh>
    <rPh sb="2" eb="3">
      <t>テン</t>
    </rPh>
    <phoneticPr fontId="1"/>
  </si>
  <si>
    <t>口裂正中点</t>
    <rPh sb="0" eb="2">
      <t>コウレツ</t>
    </rPh>
    <rPh sb="2" eb="4">
      <t>セイチュウ</t>
    </rPh>
    <rPh sb="4" eb="5">
      <t>テン</t>
    </rPh>
    <phoneticPr fontId="1"/>
  </si>
  <si>
    <t>右口角点</t>
    <rPh sb="0" eb="1">
      <t>ミギ</t>
    </rPh>
    <rPh sb="1" eb="3">
      <t>コウカク</t>
    </rPh>
    <rPh sb="3" eb="4">
      <t>テン</t>
    </rPh>
    <phoneticPr fontId="1"/>
  </si>
  <si>
    <t>左口角点</t>
    <rPh sb="0" eb="1">
      <t>ヒダリ</t>
    </rPh>
    <rPh sb="1" eb="3">
      <t>コウカク</t>
    </rPh>
    <rPh sb="3" eb="4">
      <t>テン</t>
    </rPh>
    <phoneticPr fontId="1"/>
  </si>
  <si>
    <t>上唇点</t>
    <rPh sb="0" eb="1">
      <t>ウエ</t>
    </rPh>
    <rPh sb="1" eb="2">
      <t>クチビル</t>
    </rPh>
    <rPh sb="2" eb="3">
      <t>テン</t>
    </rPh>
    <phoneticPr fontId="1"/>
  </si>
  <si>
    <t>下唇点</t>
    <rPh sb="0" eb="1">
      <t>シタ</t>
    </rPh>
    <rPh sb="1" eb="2">
      <t>クチビル</t>
    </rPh>
    <rPh sb="2" eb="3">
      <t>テン</t>
    </rPh>
    <phoneticPr fontId="1"/>
  </si>
  <si>
    <t>go-go</t>
    <phoneticPr fontId="1"/>
  </si>
  <si>
    <t>頬骨弓幅 (中顔幅)</t>
    <rPh sb="0" eb="1">
      <t>ホホ</t>
    </rPh>
    <rPh sb="1" eb="2">
      <t>ホネ</t>
    </rPh>
    <rPh sb="2" eb="3">
      <t>ユミ</t>
    </rPh>
    <rPh sb="3" eb="4">
      <t>ハバ</t>
    </rPh>
    <rPh sb="6" eb="7">
      <t>チュウ</t>
    </rPh>
    <rPh sb="7" eb="8">
      <t>カオ</t>
    </rPh>
    <rPh sb="8" eb="9">
      <t>ハバ</t>
    </rPh>
    <phoneticPr fontId="1"/>
  </si>
  <si>
    <t>略 号</t>
    <rPh sb="0" eb="1">
      <t>リャク</t>
    </rPh>
    <rPh sb="2" eb="3">
      <t>ゴウ</t>
    </rPh>
    <phoneticPr fontId="1"/>
  </si>
  <si>
    <t>下顎角幅 (下顔幅)</t>
    <rPh sb="0" eb="2">
      <t>カガク</t>
    </rPh>
    <rPh sb="2" eb="3">
      <t>カド</t>
    </rPh>
    <rPh sb="3" eb="4">
      <t>ハバ</t>
    </rPh>
    <rPh sb="6" eb="7">
      <t>シタ</t>
    </rPh>
    <rPh sb="7" eb="8">
      <t>カオ</t>
    </rPh>
    <rPh sb="8" eb="9">
      <t>ハバ</t>
    </rPh>
    <phoneticPr fontId="1"/>
  </si>
  <si>
    <t>形態学的顔高</t>
    <rPh sb="0" eb="3">
      <t>ケイタイガク</t>
    </rPh>
    <rPh sb="3" eb="4">
      <t>テキ</t>
    </rPh>
    <rPh sb="4" eb="5">
      <t>カオ</t>
    </rPh>
    <rPh sb="5" eb="6">
      <t>タカ</t>
    </rPh>
    <phoneticPr fontId="1"/>
  </si>
  <si>
    <t>n-gn</t>
    <phoneticPr fontId="1"/>
  </si>
  <si>
    <t>和  名</t>
    <rPh sb="0" eb="1">
      <t>ワ</t>
    </rPh>
    <rPh sb="3" eb="4">
      <t>メイ</t>
    </rPh>
    <phoneticPr fontId="1"/>
  </si>
  <si>
    <t>英  名</t>
    <rPh sb="0" eb="1">
      <t>エイ</t>
    </rPh>
    <rPh sb="3" eb="4">
      <t>メイ</t>
    </rPh>
    <phoneticPr fontId="1"/>
  </si>
  <si>
    <t>n-sto</t>
    <phoneticPr fontId="1"/>
  </si>
  <si>
    <t>下顔高</t>
    <rPh sb="0" eb="1">
      <t>シタ</t>
    </rPh>
    <rPh sb="1" eb="2">
      <t>カオ</t>
    </rPh>
    <rPh sb="2" eb="3">
      <t>タカ</t>
    </rPh>
    <phoneticPr fontId="1"/>
  </si>
  <si>
    <t>sto-gn</t>
    <phoneticPr fontId="1"/>
  </si>
  <si>
    <t>内眼角幅</t>
    <rPh sb="0" eb="1">
      <t>ウチ</t>
    </rPh>
    <rPh sb="1" eb="2">
      <t>メ</t>
    </rPh>
    <rPh sb="2" eb="3">
      <t>カド</t>
    </rPh>
    <rPh sb="3" eb="4">
      <t>ハバ</t>
    </rPh>
    <phoneticPr fontId="1"/>
  </si>
  <si>
    <t>en-en</t>
    <phoneticPr fontId="1"/>
  </si>
  <si>
    <t>鼻指数</t>
    <rPh sb="0" eb="1">
      <t>ハナ</t>
    </rPh>
    <rPh sb="1" eb="3">
      <t>シスウ</t>
    </rPh>
    <phoneticPr fontId="1"/>
  </si>
  <si>
    <t>外眼角幅</t>
    <rPh sb="0" eb="1">
      <t>ソト</t>
    </rPh>
    <rPh sb="1" eb="2">
      <t>メ</t>
    </rPh>
    <rPh sb="2" eb="3">
      <t>カド</t>
    </rPh>
    <rPh sb="3" eb="4">
      <t>ハバ</t>
    </rPh>
    <phoneticPr fontId="1"/>
  </si>
  <si>
    <t>ex-ex</t>
    <phoneticPr fontId="1"/>
  </si>
  <si>
    <t>右眼裂幅</t>
    <rPh sb="0" eb="1">
      <t>ミギ</t>
    </rPh>
    <rPh sb="1" eb="2">
      <t>メ</t>
    </rPh>
    <rPh sb="2" eb="3">
      <t>レツ</t>
    </rPh>
    <rPh sb="3" eb="4">
      <t>ハバ</t>
    </rPh>
    <phoneticPr fontId="1"/>
  </si>
  <si>
    <t>R_en-R_ex</t>
    <phoneticPr fontId="1"/>
  </si>
  <si>
    <t>左眼裂幅</t>
    <rPh sb="0" eb="1">
      <t>ヒダリ</t>
    </rPh>
    <rPh sb="1" eb="2">
      <t>メ</t>
    </rPh>
    <rPh sb="2" eb="3">
      <t>レツ</t>
    </rPh>
    <rPh sb="3" eb="4">
      <t>ハバ</t>
    </rPh>
    <phoneticPr fontId="1"/>
  </si>
  <si>
    <t>L_en-L_ex</t>
    <phoneticPr fontId="1"/>
  </si>
  <si>
    <t>n-sto/zy-zy</t>
    <phoneticPr fontId="1"/>
  </si>
  <si>
    <t>鼻幅</t>
    <rPh sb="0" eb="1">
      <t>ハナ</t>
    </rPh>
    <rPh sb="1" eb="2">
      <t>ハバ</t>
    </rPh>
    <phoneticPr fontId="1"/>
  </si>
  <si>
    <t>al-al</t>
    <phoneticPr fontId="1"/>
  </si>
  <si>
    <t>鼻高</t>
    <rPh sb="0" eb="1">
      <t>ハナ</t>
    </rPh>
    <rPh sb="1" eb="2">
      <t>タカ</t>
    </rPh>
    <phoneticPr fontId="1"/>
  </si>
  <si>
    <t>口裂幅</t>
    <rPh sb="0" eb="1">
      <t>クチ</t>
    </rPh>
    <rPh sb="1" eb="2">
      <t>レツ</t>
    </rPh>
    <rPh sb="2" eb="3">
      <t>ハバ</t>
    </rPh>
    <phoneticPr fontId="1"/>
  </si>
  <si>
    <t>ch-ch</t>
    <phoneticPr fontId="1"/>
  </si>
  <si>
    <t>nasion, n</t>
    <phoneticPr fontId="1"/>
  </si>
  <si>
    <t>right entocanthion, R_en</t>
    <phoneticPr fontId="1"/>
  </si>
  <si>
    <t>left entocanthion, L_en</t>
    <phoneticPr fontId="1"/>
  </si>
  <si>
    <t>right extocanthione, R_ex</t>
    <phoneticPr fontId="1"/>
  </si>
  <si>
    <t>left extocanthion, L_ex</t>
    <phoneticPr fontId="1"/>
  </si>
  <si>
    <t>right zygion, R_zy</t>
    <phoneticPr fontId="1"/>
  </si>
  <si>
    <t>left zygion, L_zy</t>
    <phoneticPr fontId="1"/>
  </si>
  <si>
    <t>right alare, R_al</t>
    <phoneticPr fontId="1"/>
  </si>
  <si>
    <t>left alare, L_al</t>
    <phoneticPr fontId="1"/>
  </si>
  <si>
    <t>subnasale, sn</t>
    <phoneticPr fontId="1"/>
  </si>
  <si>
    <t>stomion, sto</t>
    <phoneticPr fontId="1"/>
  </si>
  <si>
    <t>right cheilion, R_ch</t>
    <phoneticPr fontId="1"/>
  </si>
  <si>
    <t>left cheilion, L_ch</t>
    <phoneticPr fontId="1"/>
  </si>
  <si>
    <t>labrale inferius, li</t>
    <phoneticPr fontId="1"/>
  </si>
  <si>
    <t>right gonion, R_go</t>
    <phoneticPr fontId="1"/>
  </si>
  <si>
    <t>left gonion, L_go</t>
    <phoneticPr fontId="1"/>
  </si>
  <si>
    <t>gnathion, gn</t>
    <phoneticPr fontId="1"/>
  </si>
  <si>
    <t>全赤唇高</t>
    <rPh sb="0" eb="1">
      <t>ゼン</t>
    </rPh>
    <rPh sb="1" eb="2">
      <t>アカ</t>
    </rPh>
    <rPh sb="2" eb="3">
      <t>クチビル</t>
    </rPh>
    <rPh sb="3" eb="4">
      <t>タカ</t>
    </rPh>
    <phoneticPr fontId="1"/>
  </si>
  <si>
    <t>上赤唇高</t>
    <rPh sb="0" eb="1">
      <t>ウエ</t>
    </rPh>
    <rPh sb="1" eb="2">
      <t>アカ</t>
    </rPh>
    <rPh sb="2" eb="3">
      <t>クチビル</t>
    </rPh>
    <rPh sb="3" eb="4">
      <t>タカ</t>
    </rPh>
    <phoneticPr fontId="1"/>
  </si>
  <si>
    <t>下赤唇高</t>
    <rPh sb="0" eb="1">
      <t>シタ</t>
    </rPh>
    <rPh sb="1" eb="2">
      <t>アカ</t>
    </rPh>
    <rPh sb="2" eb="3">
      <t>クチビル</t>
    </rPh>
    <rPh sb="3" eb="4">
      <t>タカ</t>
    </rPh>
    <phoneticPr fontId="1"/>
  </si>
  <si>
    <t>上口唇高</t>
    <rPh sb="0" eb="1">
      <t>ウエ</t>
    </rPh>
    <rPh sb="1" eb="3">
      <t>コウシン</t>
    </rPh>
    <rPh sb="3" eb="4">
      <t>タカ</t>
    </rPh>
    <phoneticPr fontId="1"/>
  </si>
  <si>
    <t>n-sn</t>
    <phoneticPr fontId="1"/>
  </si>
  <si>
    <t>内眼角横指数</t>
    <rPh sb="0" eb="1">
      <t>ウチ</t>
    </rPh>
    <rPh sb="1" eb="2">
      <t>メ</t>
    </rPh>
    <rPh sb="2" eb="3">
      <t>カド</t>
    </rPh>
    <rPh sb="3" eb="4">
      <t>ヨコ</t>
    </rPh>
    <rPh sb="4" eb="6">
      <t>シスウ</t>
    </rPh>
    <phoneticPr fontId="1"/>
  </si>
  <si>
    <t>鼻横指数</t>
    <rPh sb="0" eb="1">
      <t>ハナ</t>
    </rPh>
    <rPh sb="1" eb="2">
      <t>ヨコ</t>
    </rPh>
    <rPh sb="2" eb="4">
      <t>シスウ</t>
    </rPh>
    <phoneticPr fontId="1"/>
  </si>
  <si>
    <t>口裂横指数</t>
    <rPh sb="0" eb="1">
      <t>クチ</t>
    </rPh>
    <rPh sb="1" eb="2">
      <t>レツ</t>
    </rPh>
    <rPh sb="2" eb="3">
      <t>ヨコ</t>
    </rPh>
    <rPh sb="3" eb="5">
      <t>シスウ</t>
    </rPh>
    <phoneticPr fontId="1"/>
  </si>
  <si>
    <t>下顎横指数</t>
    <rPh sb="0" eb="2">
      <t>カガク</t>
    </rPh>
    <rPh sb="2" eb="3">
      <t>ヨコ</t>
    </rPh>
    <rPh sb="3" eb="5">
      <t>シスウ</t>
    </rPh>
    <phoneticPr fontId="1"/>
  </si>
  <si>
    <t>go-go/zy-zy</t>
    <phoneticPr fontId="1"/>
  </si>
  <si>
    <t>ls-li/ch-ch</t>
    <phoneticPr fontId="1"/>
  </si>
  <si>
    <t>鼻縦指数(鼻部高径指数)</t>
    <rPh sb="0" eb="1">
      <t>ハナ</t>
    </rPh>
    <rPh sb="1" eb="2">
      <t>タテ</t>
    </rPh>
    <rPh sb="2" eb="4">
      <t>シスウ</t>
    </rPh>
    <rPh sb="5" eb="6">
      <t>ハナ</t>
    </rPh>
    <rPh sb="6" eb="7">
      <t>ブ</t>
    </rPh>
    <rPh sb="7" eb="9">
      <t>コウケイ</t>
    </rPh>
    <rPh sb="9" eb="11">
      <t>シスウ</t>
    </rPh>
    <phoneticPr fontId="1"/>
  </si>
  <si>
    <t>(全)赤唇指数</t>
    <rPh sb="1" eb="2">
      <t>ゼン</t>
    </rPh>
    <rPh sb="3" eb="4">
      <t>アカ</t>
    </rPh>
    <rPh sb="4" eb="5">
      <t>クチビル</t>
    </rPh>
    <rPh sb="5" eb="7">
      <t>シスウ</t>
    </rPh>
    <phoneticPr fontId="1"/>
  </si>
  <si>
    <t>上赤唇・下赤唇比</t>
    <rPh sb="0" eb="1">
      <t>ウエ</t>
    </rPh>
    <rPh sb="1" eb="2">
      <t>アカ</t>
    </rPh>
    <rPh sb="2" eb="3">
      <t>クチビル</t>
    </rPh>
    <rPh sb="4" eb="5">
      <t>シタ</t>
    </rPh>
    <rPh sb="5" eb="6">
      <t>アカ</t>
    </rPh>
    <rPh sb="6" eb="7">
      <t>クチビル</t>
    </rPh>
    <rPh sb="7" eb="8">
      <t>ヒ</t>
    </rPh>
    <phoneticPr fontId="1"/>
  </si>
  <si>
    <t>上唇・下唇比</t>
    <rPh sb="0" eb="1">
      <t>ウエ</t>
    </rPh>
    <rPh sb="1" eb="2">
      <t>クチビル</t>
    </rPh>
    <rPh sb="3" eb="4">
      <t>シタ</t>
    </rPh>
    <rPh sb="4" eb="5">
      <t>クチビル</t>
    </rPh>
    <rPh sb="5" eb="6">
      <t>ヒ</t>
    </rPh>
    <phoneticPr fontId="1"/>
  </si>
  <si>
    <t>略号/100</t>
    <rPh sb="0" eb="1">
      <t>リャク</t>
    </rPh>
    <rPh sb="1" eb="2">
      <t>ゴウ</t>
    </rPh>
    <phoneticPr fontId="1"/>
  </si>
  <si>
    <t>sn-sto/sto-gn</t>
    <phoneticPr fontId="1"/>
  </si>
  <si>
    <t>lip index</t>
    <phoneticPr fontId="1"/>
  </si>
  <si>
    <t>al-al/n-sn</t>
    <phoneticPr fontId="1"/>
  </si>
  <si>
    <t>ls-li</t>
    <phoneticPr fontId="1"/>
  </si>
  <si>
    <t>labrale superius, ls</t>
    <phoneticPr fontId="1"/>
  </si>
  <si>
    <t>ls-sto</t>
    <phoneticPr fontId="1"/>
  </si>
  <si>
    <t>sto-li</t>
    <phoneticPr fontId="1"/>
  </si>
  <si>
    <t>sn-sto</t>
    <phoneticPr fontId="1"/>
  </si>
  <si>
    <t>nasal index</t>
    <phoneticPr fontId="1"/>
  </si>
  <si>
    <t>en-en/zy-zy</t>
    <phoneticPr fontId="1"/>
  </si>
  <si>
    <t>al-al/zy-zy</t>
    <phoneticPr fontId="1"/>
  </si>
  <si>
    <t>ch-ch/zy-zy</t>
    <phoneticPr fontId="1"/>
  </si>
  <si>
    <t>n-sn/n-gn</t>
    <phoneticPr fontId="1"/>
  </si>
  <si>
    <t>鼻下・オトガイ距離(中顔面高)</t>
    <rPh sb="0" eb="1">
      <t>ハナ</t>
    </rPh>
    <rPh sb="1" eb="2">
      <t>シタ</t>
    </rPh>
    <rPh sb="7" eb="9">
      <t>キョリ</t>
    </rPh>
    <rPh sb="10" eb="11">
      <t>チュウ</t>
    </rPh>
    <rPh sb="11" eb="12">
      <t>カオ</t>
    </rPh>
    <rPh sb="12" eb="13">
      <t>メン</t>
    </rPh>
    <rPh sb="13" eb="14">
      <t>タカ</t>
    </rPh>
    <phoneticPr fontId="1"/>
  </si>
  <si>
    <t>sn-gn</t>
    <phoneticPr fontId="1"/>
  </si>
  <si>
    <t>ls-sto/sto-li</t>
    <phoneticPr fontId="1"/>
  </si>
  <si>
    <t>sto-gn/go-go</t>
    <phoneticPr fontId="1"/>
  </si>
  <si>
    <t>n-sto/n-gn</t>
    <phoneticPr fontId="1"/>
  </si>
  <si>
    <t>en-en/ex-ex</t>
    <phoneticPr fontId="1"/>
  </si>
  <si>
    <t>n-sn/n-sto</t>
    <phoneticPr fontId="1"/>
  </si>
  <si>
    <t>内眼角幅/口裂幅</t>
    <rPh sb="0" eb="1">
      <t>ナイ</t>
    </rPh>
    <rPh sb="1" eb="2">
      <t>ガン</t>
    </rPh>
    <rPh sb="2" eb="3">
      <t>カク</t>
    </rPh>
    <rPh sb="3" eb="4">
      <t>ハバ</t>
    </rPh>
    <rPh sb="5" eb="6">
      <t>クチ</t>
    </rPh>
    <rPh sb="6" eb="7">
      <t>レツ</t>
    </rPh>
    <rPh sb="7" eb="8">
      <t>ハバ</t>
    </rPh>
    <phoneticPr fontId="1"/>
  </si>
  <si>
    <t>en-en/ch-ch</t>
    <phoneticPr fontId="1"/>
  </si>
  <si>
    <t>鼻幅/口裂幅</t>
    <rPh sb="0" eb="1">
      <t>ハナ</t>
    </rPh>
    <rPh sb="1" eb="2">
      <t>ハバ</t>
    </rPh>
    <rPh sb="3" eb="4">
      <t>クチ</t>
    </rPh>
    <rPh sb="4" eb="5">
      <t>レツ</t>
    </rPh>
    <rPh sb="5" eb="6">
      <t>ハバ</t>
    </rPh>
    <phoneticPr fontId="1"/>
  </si>
  <si>
    <t>al-al/ch-ch</t>
    <phoneticPr fontId="1"/>
  </si>
  <si>
    <t>内眼角幅/鼻幅</t>
    <rPh sb="0" eb="1">
      <t>ナイ</t>
    </rPh>
    <rPh sb="1" eb="2">
      <t>ガン</t>
    </rPh>
    <rPh sb="2" eb="3">
      <t>カク</t>
    </rPh>
    <rPh sb="3" eb="4">
      <t>ハバ</t>
    </rPh>
    <rPh sb="5" eb="6">
      <t>ハナ</t>
    </rPh>
    <rPh sb="6" eb="7">
      <t>ハバ</t>
    </rPh>
    <phoneticPr fontId="1"/>
  </si>
  <si>
    <t>en-en/al-al</t>
    <phoneticPr fontId="1"/>
  </si>
  <si>
    <t>性別</t>
    <rPh sb="0" eb="2">
      <t>セイベツ</t>
    </rPh>
    <phoneticPr fontId="1"/>
  </si>
  <si>
    <t>下顎角幅/形態学的顔高</t>
    <rPh sb="0" eb="2">
      <t>カガク</t>
    </rPh>
    <rPh sb="2" eb="3">
      <t>カド</t>
    </rPh>
    <rPh sb="3" eb="4">
      <t>ハバ</t>
    </rPh>
    <rPh sb="5" eb="7">
      <t>ケイタイ</t>
    </rPh>
    <rPh sb="7" eb="9">
      <t>ガクテキ</t>
    </rPh>
    <rPh sb="9" eb="10">
      <t>カオ</t>
    </rPh>
    <rPh sb="10" eb="11">
      <t>タカ</t>
    </rPh>
    <phoneticPr fontId="1"/>
  </si>
  <si>
    <t>go-go/n-gn</t>
    <phoneticPr fontId="1"/>
  </si>
  <si>
    <t>口裂正中点(下赤唇)</t>
    <rPh sb="0" eb="2">
      <t>コウレツ</t>
    </rPh>
    <rPh sb="2" eb="4">
      <t>セイチュウ</t>
    </rPh>
    <rPh sb="4" eb="5">
      <t>テン</t>
    </rPh>
    <rPh sb="6" eb="7">
      <t>シタ</t>
    </rPh>
    <rPh sb="7" eb="8">
      <t>アカ</t>
    </rPh>
    <rPh sb="8" eb="9">
      <t>クチビル</t>
    </rPh>
    <phoneticPr fontId="1"/>
  </si>
  <si>
    <t>stomion, sto (on labia inferius)</t>
    <phoneticPr fontId="1"/>
  </si>
  <si>
    <t>下顔面高/下顎角幅(下顎指数)</t>
    <rPh sb="0" eb="1">
      <t>シタ</t>
    </rPh>
    <rPh sb="1" eb="3">
      <t>ガンメン</t>
    </rPh>
    <rPh sb="3" eb="4">
      <t>タカ</t>
    </rPh>
    <rPh sb="5" eb="7">
      <t>カガク</t>
    </rPh>
    <rPh sb="7" eb="8">
      <t>カド</t>
    </rPh>
    <rPh sb="8" eb="9">
      <t>ハバ</t>
    </rPh>
    <rPh sb="10" eb="12">
      <t>カガク</t>
    </rPh>
    <rPh sb="12" eb="14">
      <t>シスウ</t>
    </rPh>
    <phoneticPr fontId="1"/>
  </si>
  <si>
    <t>内眼角幅/外眼角幅(眼角間指数)</t>
    <rPh sb="0" eb="1">
      <t>ウチ</t>
    </rPh>
    <rPh sb="1" eb="2">
      <t>メ</t>
    </rPh>
    <rPh sb="2" eb="3">
      <t>カド</t>
    </rPh>
    <rPh sb="3" eb="4">
      <t>ハバ</t>
    </rPh>
    <rPh sb="5" eb="6">
      <t>ソト</t>
    </rPh>
    <rPh sb="6" eb="7">
      <t>メ</t>
    </rPh>
    <rPh sb="7" eb="8">
      <t>カド</t>
    </rPh>
    <rPh sb="8" eb="9">
      <t>ハバ</t>
    </rPh>
    <rPh sb="10" eb="11">
      <t>ガン</t>
    </rPh>
    <rPh sb="11" eb="12">
      <t>カク</t>
    </rPh>
    <rPh sb="12" eb="13">
      <t>アイダ</t>
    </rPh>
    <rPh sb="13" eb="15">
      <t>シスウ</t>
    </rPh>
    <phoneticPr fontId="1"/>
  </si>
  <si>
    <t>mandibular index</t>
    <phoneticPr fontId="1"/>
  </si>
  <si>
    <t>上顔指数</t>
    <rPh sb="0" eb="1">
      <t>ウエ</t>
    </rPh>
    <rPh sb="1" eb="2">
      <t>カオ</t>
    </rPh>
    <rPh sb="2" eb="4">
      <t>シスウ</t>
    </rPh>
    <phoneticPr fontId="1"/>
  </si>
  <si>
    <t>upper facial index</t>
    <phoneticPr fontId="1"/>
  </si>
  <si>
    <t>intercanthal index</t>
    <phoneticPr fontId="1"/>
  </si>
  <si>
    <t>男</t>
    <rPh sb="0" eb="1">
      <t>オトコ</t>
    </rPh>
    <phoneticPr fontId="2"/>
  </si>
  <si>
    <t>女</t>
    <rPh sb="0" eb="1">
      <t>オンナ</t>
    </rPh>
    <phoneticPr fontId="2"/>
  </si>
  <si>
    <t>マハラノビスD2</t>
    <phoneticPr fontId="1"/>
  </si>
  <si>
    <t>平均</t>
    <rPh sb="0" eb="2">
      <t>ヘイキン</t>
    </rPh>
    <phoneticPr fontId="2"/>
  </si>
  <si>
    <t>分散共分散行列</t>
    <rPh sb="0" eb="2">
      <t>ブンサン</t>
    </rPh>
    <rPh sb="2" eb="5">
      <t>キョウブンサン</t>
    </rPh>
    <rPh sb="5" eb="7">
      <t>ギョウレツ</t>
    </rPh>
    <phoneticPr fontId="2"/>
  </si>
  <si>
    <t>χ2-p値(正規仮定*)</t>
    <rPh sb="4" eb="5">
      <t>アタイ</t>
    </rPh>
    <rPh sb="6" eb="8">
      <t>セイキ</t>
    </rPh>
    <rPh sb="8" eb="10">
      <t>カテイ</t>
    </rPh>
    <phoneticPr fontId="1"/>
  </si>
  <si>
    <t>*実データでは正規性からの逸脱があり、p値は正規仮定より大きくなります。</t>
    <rPh sb="1" eb="2">
      <t>ジツ</t>
    </rPh>
    <rPh sb="7" eb="9">
      <t>セイキ</t>
    </rPh>
    <rPh sb="9" eb="10">
      <t>セイ</t>
    </rPh>
    <rPh sb="13" eb="15">
      <t>イツダツ</t>
    </rPh>
    <rPh sb="20" eb="21">
      <t>アタイ</t>
    </rPh>
    <rPh sb="22" eb="24">
      <t>セイキ</t>
    </rPh>
    <rPh sb="24" eb="26">
      <t>カテイ</t>
    </rPh>
    <rPh sb="28" eb="29">
      <t>オオ</t>
    </rPh>
    <phoneticPr fontId="1"/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</si>
  <si>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</si>
  <si>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</si>
  <si>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</si>
  <si>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</si>
  <si>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</si>
  <si>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</si>
  <si>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</si>
  <si>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</si>
  <si>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</si>
  <si>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</si>
  <si>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</si>
  <si>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</si>
  <si>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</si>
  <si>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</si>
  <si>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</si>
  <si>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</si>
  <si>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</si>
  <si>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</si>
  <si>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</si>
  <si>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分散共分散行列の逆行列</t>
    <rPh sb="0" eb="2">
      <t>ブンサン</t>
    </rPh>
    <rPh sb="2" eb="5">
      <t>キョウブンサン</t>
    </rPh>
    <rPh sb="5" eb="7">
      <t>ギョウレツ</t>
    </rPh>
    <rPh sb="8" eb="11">
      <t>ギャクギョウレツ</t>
    </rPh>
    <phoneticPr fontId="2"/>
  </si>
  <si>
    <t>D2計算に</t>
    <rPh sb="2" eb="4">
      <t>ケイサン</t>
    </rPh>
    <phoneticPr fontId="1"/>
  </si>
  <si>
    <t>使用する</t>
    <rPh sb="0" eb="2">
      <t>シヨウ</t>
    </rPh>
    <phoneticPr fontId="1"/>
  </si>
  <si>
    <t>p値のマルコフ上限</t>
    <rPh sb="1" eb="2">
      <t>アタイ</t>
    </rPh>
    <rPh sb="7" eb="9">
      <t>ジョウゲン</t>
    </rPh>
    <phoneticPr fontId="1"/>
  </si>
  <si>
    <t>次元</t>
    <rPh sb="0" eb="2">
      <t>ジゲン</t>
    </rPh>
    <phoneticPr fontId="5"/>
  </si>
  <si>
    <t>性別</t>
    <rPh sb="0" eb="2">
      <t>セイベツ</t>
    </rPh>
    <phoneticPr fontId="5"/>
  </si>
  <si>
    <t>共分散行列</t>
    <rPh sb="0" eb="3">
      <t>キョウブンサン</t>
    </rPh>
    <rPh sb="3" eb="5">
      <t>ギョウレツ</t>
    </rPh>
    <phoneticPr fontId="5"/>
  </si>
  <si>
    <t>共分散逆行列</t>
    <rPh sb="0" eb="3">
      <t>キョウブンサン</t>
    </rPh>
    <rPh sb="3" eb="4">
      <t>ギャク</t>
    </rPh>
    <rPh sb="4" eb="6">
      <t>ギョウレツ</t>
    </rPh>
    <phoneticPr fontId="5"/>
  </si>
  <si>
    <t>上顔高/形態学的顔高</t>
    <rPh sb="0" eb="1">
      <t>ウエ</t>
    </rPh>
    <rPh sb="1" eb="2">
      <t>カオ</t>
    </rPh>
    <rPh sb="2" eb="3">
      <t>タカ</t>
    </rPh>
    <rPh sb="4" eb="6">
      <t>ケイタイ</t>
    </rPh>
    <rPh sb="6" eb="8">
      <t>ガクテキ</t>
    </rPh>
    <rPh sb="8" eb="9">
      <t>カオ</t>
    </rPh>
    <rPh sb="9" eb="10">
      <t>タカ</t>
    </rPh>
    <phoneticPr fontId="1"/>
  </si>
  <si>
    <t>鼻高/上顔高</t>
    <rPh sb="0" eb="1">
      <t>ハナ</t>
    </rPh>
    <rPh sb="1" eb="2">
      <t>タカ</t>
    </rPh>
    <rPh sb="3" eb="4">
      <t>ウエ</t>
    </rPh>
    <rPh sb="4" eb="5">
      <t>カオ</t>
    </rPh>
    <rPh sb="5" eb="6">
      <t>タカ</t>
    </rPh>
    <phoneticPr fontId="1"/>
  </si>
  <si>
    <t>上顔高</t>
    <rPh sb="0" eb="1">
      <t>ウエ</t>
    </rPh>
    <rPh sb="1" eb="2">
      <t>カオ</t>
    </rPh>
    <rPh sb="2" eb="3">
      <t>タカ</t>
    </rPh>
    <phoneticPr fontId="1"/>
  </si>
  <si>
    <t>女</t>
    <phoneticPr fontId="5"/>
  </si>
  <si>
    <t>有効次元数(D2期待値)</t>
    <rPh sb="0" eb="2">
      <t>ユウコウ</t>
    </rPh>
    <rPh sb="2" eb="4">
      <t>ジゲン</t>
    </rPh>
    <rPh sb="4" eb="5">
      <t>スウ</t>
    </rPh>
    <rPh sb="8" eb="11">
      <t>キタイチ</t>
    </rPh>
    <phoneticPr fontId="1"/>
  </si>
  <si>
    <t>D2の最頻値(正規仮定*)</t>
    <rPh sb="3" eb="6">
      <t>サイヒンチ</t>
    </rPh>
    <rPh sb="7" eb="9">
      <t>セイキ</t>
    </rPh>
    <rPh sb="9" eb="11">
      <t>カテイ</t>
    </rPh>
    <phoneticPr fontId="1"/>
  </si>
  <si>
    <t>女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</si>
</sst>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明朝"/>
      <family val="1"/>
      <charset val="128"/>
    </font>
    <font>
      <sz val="9"/>
      <color theme="1"/>
      <name val="ＭＳ 明朝"/>
      <family val="1"/>
      <charset val="128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theme="9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2" borderId="3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2" borderId="11" xfId="0" applyFont="1" applyFill="1" applyBorder="1">
      <alignment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3" xfId="0" applyFont="1" applyBorder="1">
      <alignment vertical="center"/>
    </xf>
    <xf numFmtId="0" fontId="3" fillId="3" borderId="3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10" xfId="0" applyFont="1" applyFill="1" applyBorder="1">
      <alignment vertical="center"/>
    </xf>
    <xf numFmtId="0" fontId="3" fillId="3" borderId="11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0" borderId="3" xfId="0" applyFont="1" applyFill="1" applyBorder="1">
      <alignment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2" borderId="15" xfId="0" applyFont="1" applyFill="1" applyBorder="1">
      <alignment vertical="center"/>
    </xf>
    <xf numFmtId="0" fontId="3" fillId="0" borderId="13" xfId="0" applyFont="1" applyFill="1" applyBorder="1">
      <alignment vertical="center"/>
    </xf>
    <xf numFmtId="0" fontId="3" fillId="0" borderId="16" xfId="0" applyFont="1" applyBorder="1">
      <alignment vertical="center"/>
    </xf>
    <xf numFmtId="0" fontId="3" fillId="0" borderId="17" xfId="0" applyFont="1" applyBorder="1">
      <alignment vertical="center"/>
    </xf>
    <xf numFmtId="0" fontId="3" fillId="3" borderId="13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3" borderId="20" xfId="0" applyFont="1" applyFill="1" applyBorder="1" applyAlignment="1">
      <alignment horizontal="center" vertical="center"/>
    </xf>
    <xf numFmtId="0" fontId="3" fillId="0" borderId="2" xfId="0" applyFont="1" applyFill="1" applyBorder="1">
      <alignment vertical="center"/>
    </xf>
    <xf numFmtId="0" fontId="3" fillId="0" borderId="10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3" fillId="0" borderId="21" xfId="0" applyFon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4" fillId="0" borderId="2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1" xfId="0" applyBorder="1">
      <alignment vertical="center"/>
    </xf>
    <xf numFmtId="0" fontId="3" fillId="0" borderId="21" xfId="0" applyFont="1" applyBorder="1" applyAlignment="1">
      <alignment horizontal="center" vertical="center"/>
    </xf>
    <xf numFmtId="0" fontId="0" fillId="0" borderId="26" xfId="0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I$8" lockText="1" noThreeD="1"/>
</file>

<file path=xl/ctrlProps/ctrlProp2.xml><?xml version="1.0" encoding="utf-8"?>
<formControlPr xmlns="http://schemas.microsoft.com/office/spreadsheetml/2009/9/main" objectType="CheckBox" checked="Checked" fmlaLink="I9" lockText="1" noThreeD="1"/>
</file>

<file path=xl/ctrlProps/ctrlProp3.xml><?xml version="1.0" encoding="utf-8"?>
<formControlPr xmlns="http://schemas.microsoft.com/office/spreadsheetml/2009/9/main" objectType="CheckBox" checked="Checked" fmlaLink="$I$10" lockText="1" noThreeD="1"/>
</file>

<file path=xl/ctrlProps/ctrlProp4.xml><?xml version="1.0" encoding="utf-8"?>
<formControlPr xmlns="http://schemas.microsoft.com/office/spreadsheetml/2009/9/main" objectType="CheckBox" checked="Checked" fmlaLink="$I$11" lockText="1" noThreeD="1"/>
</file>

<file path=xl/ctrlProps/ctrlProp5.xml><?xml version="1.0" encoding="utf-8"?>
<formControlPr xmlns="http://schemas.microsoft.com/office/spreadsheetml/2009/9/main" objectType="CheckBox" checked="Checked" fmlaLink="$I$12" lockText="1" noThreeD="1"/>
</file>

<file path=xl/ctrlProps/ctrlProp6.xml><?xml version="1.0" encoding="utf-8"?>
<formControlPr xmlns="http://schemas.microsoft.com/office/spreadsheetml/2009/9/main" objectType="CheckBox" checked="Checked" fmlaLink="$I$13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fmlaLink="$I$10" lockText="1" noThreeD="1"/>
</file>

<file path=xl/ctrlProps/ctrlProp21.xml><?xml version="1.0" encoding="utf-8"?>
<formControlPr xmlns="http://schemas.microsoft.com/office/spreadsheetml/2009/9/main" objectType="CheckBox" checked="Checked" fmlaLink="$I$9" lockText="1" noThreeD="1"/>
</file>

<file path=xl/ctrlProps/ctrlProp22.xml><?xml version="1.0" encoding="utf-8"?>
<formControlPr xmlns="http://schemas.microsoft.com/office/spreadsheetml/2009/9/main" objectType="CheckBox" checked="Checked" fmlaLink="$I$9" lockText="1" noThreeD="1"/>
</file>

<file path=xl/ctrlProps/ctrlProp23.xml><?xml version="1.0" encoding="utf-8"?>
<formControlPr xmlns="http://schemas.microsoft.com/office/spreadsheetml/2009/9/main" objectType="CheckBox" checked="Checked" fmlaLink="$I$9" lockText="1" noThreeD="1"/>
</file>

<file path=xl/ctrlProps/ctrlProp24.xml><?xml version="1.0" encoding="utf-8"?>
<formControlPr xmlns="http://schemas.microsoft.com/office/spreadsheetml/2009/9/main" objectType="CheckBox" checked="Checked" fmlaLink="$I$9" lockText="1" noThreeD="1"/>
</file>

<file path=xl/ctrlProps/ctrlProp25.xml><?xml version="1.0" encoding="utf-8"?>
<formControlPr xmlns="http://schemas.microsoft.com/office/spreadsheetml/2009/9/main" objectType="CheckBox" checked="Checked" fmlaLink="$I$9" lockText="1" noThreeD="1"/>
</file>

<file path=xl/ctrlProps/ctrlProp26.xml><?xml version="1.0" encoding="utf-8"?>
<formControlPr xmlns="http://schemas.microsoft.com/office/spreadsheetml/2009/9/main" objectType="CheckBox" checked="Checked" fmlaLink="$I$9" lockText="1" noThreeD="1"/>
</file>

<file path=xl/ctrlProps/ctrlProp27.xml><?xml version="1.0" encoding="utf-8"?>
<formControlPr xmlns="http://schemas.microsoft.com/office/spreadsheetml/2009/9/main" objectType="CheckBox" checked="Checked" fmlaLink="$I$9" lockText="1" noThreeD="1"/>
</file>

<file path=xl/ctrlProps/ctrlProp28.xml><?xml version="1.0" encoding="utf-8"?>
<formControlPr xmlns="http://schemas.microsoft.com/office/spreadsheetml/2009/9/main" objectType="CheckBox" checked="Checked" fmlaLink="$I$9" lockText="1" noThreeD="1"/>
</file>

<file path=xl/ctrlProps/ctrlProp29.xml><?xml version="1.0" encoding="utf-8"?>
<formControlPr xmlns="http://schemas.microsoft.com/office/spreadsheetml/2009/9/main" objectType="CheckBox" checked="Checked" fmlaLink="$I$9" lockText="1" noThreeD="1"/>
</file>

<file path=xl/ctrlProps/ctrlProp30.xml><?xml version="1.0" encoding="utf-8"?>
<formControlPr xmlns="http://schemas.microsoft.com/office/spreadsheetml/2009/9/main" objectType="CheckBox" checked="Checked" fmlaLink="$I$9" lockText="1" noThreeD="1"/>
</file>

<file path=xl/ctrlProps/ctrlProp31.xml><?xml version="1.0" encoding="utf-8"?>
<formControlPr xmlns="http://schemas.microsoft.com/office/spreadsheetml/2009/9/main" objectType="CheckBox" checked="Checked" fmlaLink="$I$9" lockText="1" noThreeD="1"/>
</file>

<file path=xl/ctrlProps/ctrlProp32.xml><?xml version="1.0" encoding="utf-8"?>
<formControlPr xmlns="http://schemas.microsoft.com/office/spreadsheetml/2009/9/main" objectType="CheckBox" checked="Checked" fmlaLink="$I$9" lockText="1" noThreeD="1"/>
</file>

<file path=xl/ctrlProps/ctrlProp33.xml><?xml version="1.0" encoding="utf-8"?>
<formControlPr xmlns="http://schemas.microsoft.com/office/spreadsheetml/2009/9/main" objectType="CheckBox" checked="Checked" fmlaLink="$I$9" lockText="1" noThreeD="1"/>
</file>

<file path=xl/ctrlProps/ctrlProp34.xml><?xml version="1.0" encoding="utf-8"?>
<formControlPr xmlns="http://schemas.microsoft.com/office/spreadsheetml/2009/9/main" objectType="CheckBox" checked="Checked" fmlaLink="$I$9" lockText="1" noThreeD="1"/>
</file>

<file path=xl/ctrlProps/ctrlProp35.xml><?xml version="1.0" encoding="utf-8"?>
<formControlPr xmlns="http://schemas.microsoft.com/office/spreadsheetml/2009/9/main" objectType="CheckBox" checked="Checked" fmlaLink="$I$9" lockText="1" noThreeD="1"/>
</file>

<file path=xl/ctrlProps/ctrlProp36.xml><?xml version="1.0" encoding="utf-8"?>
<formControlPr xmlns="http://schemas.microsoft.com/office/spreadsheetml/2009/9/main" objectType="CheckBox" checked="Checked" fmlaLink="$I$9" lockText="1" noThreeD="1"/>
</file>

<file path=xl/ctrlProps/ctrlProp37.xml><?xml version="1.0" encoding="utf-8"?>
<formControlPr xmlns="http://schemas.microsoft.com/office/spreadsheetml/2009/9/main" objectType="CheckBox" checked="Checked" fmlaLink="$I$10" lockText="1" noThreeD="1"/>
</file>

<file path=xl/ctrlProps/ctrlProp38.xml><?xml version="1.0" encoding="utf-8"?>
<formControlPr xmlns="http://schemas.microsoft.com/office/spreadsheetml/2009/9/main" objectType="CheckBox" checked="Checked" fmlaLink="$I$11" lockText="1" noThreeD="1"/>
</file>

<file path=xl/ctrlProps/ctrlProp39.xml><?xml version="1.0" encoding="utf-8"?>
<formControlPr xmlns="http://schemas.microsoft.com/office/spreadsheetml/2009/9/main" objectType="CheckBox" checked="Checked" fmlaLink="$I$12" lockText="1" noThreeD="1"/>
</file>

<file path=xl/ctrlProps/ctrlProp40.xml><?xml version="1.0" encoding="utf-8"?>
<formControlPr xmlns="http://schemas.microsoft.com/office/spreadsheetml/2009/9/main" objectType="CheckBox" checked="Checked" fmlaLink="$I$13" lockText="1" noThreeD="1"/>
</file>

<file path=xl/ctrlProps/ctrlProp41.xml><?xml version="1.0" encoding="utf-8"?>
<formControlPr xmlns="http://schemas.microsoft.com/office/spreadsheetml/2009/9/main" objectType="CheckBox" checked="Checked" fmlaLink="$I$14" lockText="1" noThreeD="1"/>
</file>

<file path=xl/ctrlProps/ctrlProp42.xml><?xml version="1.0" encoding="utf-8"?>
<formControlPr xmlns="http://schemas.microsoft.com/office/spreadsheetml/2009/9/main" objectType="CheckBox" checked="Checked" fmlaLink="$I$15" lockText="1" noThreeD="1"/>
</file>

<file path=xl/ctrlProps/ctrlProp43.xml><?xml version="1.0" encoding="utf-8"?>
<formControlPr xmlns="http://schemas.microsoft.com/office/spreadsheetml/2009/9/main" objectType="CheckBox" checked="Checked" fmlaLink="$I$16" lockText="1" noThreeD="1"/>
</file>

<file path=xl/ctrlProps/ctrlProp44.xml><?xml version="1.0" encoding="utf-8"?>
<formControlPr xmlns="http://schemas.microsoft.com/office/spreadsheetml/2009/9/main" objectType="CheckBox" checked="Checked" fmlaLink="$I$17" lockText="1" noThreeD="1"/>
</file>

<file path=xl/ctrlProps/ctrlProp45.xml><?xml version="1.0" encoding="utf-8"?>
<formControlPr xmlns="http://schemas.microsoft.com/office/spreadsheetml/2009/9/main" objectType="CheckBox" checked="Checked" fmlaLink="$I$18" lockText="1" noThreeD="1"/>
</file>

<file path=xl/ctrlProps/ctrlProp46.xml><?xml version="1.0" encoding="utf-8"?>
<formControlPr xmlns="http://schemas.microsoft.com/office/spreadsheetml/2009/9/main" objectType="CheckBox" checked="Checked" fmlaLink="$I$19" lockText="1" noThreeD="1"/>
</file>

<file path=xl/ctrlProps/ctrlProp47.xml><?xml version="1.0" encoding="utf-8"?>
<formControlPr xmlns="http://schemas.microsoft.com/office/spreadsheetml/2009/9/main" objectType="CheckBox" checked="Checked" fmlaLink="$I$20" lockText="1" noThreeD="1"/>
</file>

<file path=xl/ctrlProps/ctrlProp48.xml><?xml version="1.0" encoding="utf-8"?>
<formControlPr xmlns="http://schemas.microsoft.com/office/spreadsheetml/2009/9/main" objectType="CheckBox" checked="Checked" fmlaLink="$I$21" lockText="1" noThreeD="1"/>
</file>

<file path=xl/ctrlProps/ctrlProp49.xml><?xml version="1.0" encoding="utf-8"?>
<formControlPr xmlns="http://schemas.microsoft.com/office/spreadsheetml/2009/9/main" objectType="CheckBox" checked="Checked" fmlaLink="$I$22" lockText="1" noThreeD="1"/>
</file>

<file path=xl/ctrlProps/ctrlProp50.xml><?xml version="1.0" encoding="utf-8"?>
<formControlPr xmlns="http://schemas.microsoft.com/office/spreadsheetml/2009/9/main" objectType="CheckBox" checked="Checked" fmlaLink="$I$23" lockText="1" noThreeD="1"/>
</file>

<file path=xl/ctrlProps/ctrlProp51.xml><?xml version="1.0" encoding="utf-8"?>
<formControlPr xmlns="http://schemas.microsoft.com/office/spreadsheetml/2009/9/main" objectType="CheckBox" checked="Checked" fmlaLink="$I$24" lockText="1" noThreeD="1"/>
</file>

<file path=xl/ctrlProps/ctrlProp52.xml><?xml version="1.0" encoding="utf-8"?>
<formControlPr xmlns="http://schemas.microsoft.com/office/spreadsheetml/2009/9/main" objectType="CheckBox" checked="Checked" fmlaLink="$I$25" lockText="1" noThreeD="1"/>
</file>

<file path=xl/ctrlProps/ctrlProp53.xml><?xml version="1.0" encoding="utf-8"?>
<formControlPr xmlns="http://schemas.microsoft.com/office/spreadsheetml/2009/9/main" objectType="CheckBox" checked="Checked" fmlaLink="$I$26" lockText="1" noThreeD="1"/>
</file>

<file path=xl/ctrlProps/ctrlProp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6</xdr:row>
          <xdr:rowOff>171450</xdr:rowOff>
        </xdr:from>
        <xdr:to>
          <xdr:col>6</xdr:col>
          <xdr:colOff>542925</xdr:colOff>
          <xdr:row>8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542925</xdr:colOff>
          <xdr:row>9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8</xdr:row>
          <xdr:rowOff>171450</xdr:rowOff>
        </xdr:from>
        <xdr:to>
          <xdr:col>6</xdr:col>
          <xdr:colOff>542925</xdr:colOff>
          <xdr:row>10</xdr:row>
          <xdr:rowOff>19050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171450</xdr:rowOff>
        </xdr:from>
        <xdr:to>
          <xdr:col>6</xdr:col>
          <xdr:colOff>542925</xdr:colOff>
          <xdr:row>11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10</xdr:row>
          <xdr:rowOff>171450</xdr:rowOff>
        </xdr:from>
        <xdr:to>
          <xdr:col>6</xdr:col>
          <xdr:colOff>542925</xdr:colOff>
          <xdr:row>12</xdr:row>
          <xdr:rowOff>19050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11</xdr:row>
          <xdr:rowOff>171450</xdr:rowOff>
        </xdr:from>
        <xdr:to>
          <xdr:col>6</xdr:col>
          <xdr:colOff>542925</xdr:colOff>
          <xdr:row>13</xdr:row>
          <xdr:rowOff>19050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12</xdr:row>
          <xdr:rowOff>171450</xdr:rowOff>
        </xdr:from>
        <xdr:to>
          <xdr:col>6</xdr:col>
          <xdr:colOff>542925</xdr:colOff>
          <xdr:row>14</xdr:row>
          <xdr:rowOff>19050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13</xdr:row>
          <xdr:rowOff>171450</xdr:rowOff>
        </xdr:from>
        <xdr:to>
          <xdr:col>6</xdr:col>
          <xdr:colOff>542925</xdr:colOff>
          <xdr:row>15</xdr:row>
          <xdr:rowOff>19050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14</xdr:row>
          <xdr:rowOff>171450</xdr:rowOff>
        </xdr:from>
        <xdr:to>
          <xdr:col>6</xdr:col>
          <xdr:colOff>542925</xdr:colOff>
          <xdr:row>16</xdr:row>
          <xdr:rowOff>19050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15</xdr:row>
          <xdr:rowOff>171450</xdr:rowOff>
        </xdr:from>
        <xdr:to>
          <xdr:col>6</xdr:col>
          <xdr:colOff>542925</xdr:colOff>
          <xdr:row>17</xdr:row>
          <xdr:rowOff>19050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16</xdr:row>
          <xdr:rowOff>171450</xdr:rowOff>
        </xdr:from>
        <xdr:to>
          <xdr:col>6</xdr:col>
          <xdr:colOff>542925</xdr:colOff>
          <xdr:row>18</xdr:row>
          <xdr:rowOff>19050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17</xdr:row>
          <xdr:rowOff>171450</xdr:rowOff>
        </xdr:from>
        <xdr:to>
          <xdr:col>6</xdr:col>
          <xdr:colOff>542925</xdr:colOff>
          <xdr:row>19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18</xdr:row>
          <xdr:rowOff>171450</xdr:rowOff>
        </xdr:from>
        <xdr:to>
          <xdr:col>6</xdr:col>
          <xdr:colOff>542925</xdr:colOff>
          <xdr:row>20</xdr:row>
          <xdr:rowOff>19050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19</xdr:row>
          <xdr:rowOff>171450</xdr:rowOff>
        </xdr:from>
        <xdr:to>
          <xdr:col>6</xdr:col>
          <xdr:colOff>542925</xdr:colOff>
          <xdr:row>21</xdr:row>
          <xdr:rowOff>19050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20</xdr:row>
          <xdr:rowOff>171450</xdr:rowOff>
        </xdr:from>
        <xdr:to>
          <xdr:col>6</xdr:col>
          <xdr:colOff>542925</xdr:colOff>
          <xdr:row>22</xdr:row>
          <xdr:rowOff>19050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21</xdr:row>
          <xdr:rowOff>171450</xdr:rowOff>
        </xdr:from>
        <xdr:to>
          <xdr:col>6</xdr:col>
          <xdr:colOff>542925</xdr:colOff>
          <xdr:row>23</xdr:row>
          <xdr:rowOff>19050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22</xdr:row>
          <xdr:rowOff>171450</xdr:rowOff>
        </xdr:from>
        <xdr:to>
          <xdr:col>6</xdr:col>
          <xdr:colOff>542925</xdr:colOff>
          <xdr:row>24</xdr:row>
          <xdr:rowOff>19050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23</xdr:row>
          <xdr:rowOff>171450</xdr:rowOff>
        </xdr:from>
        <xdr:to>
          <xdr:col>6</xdr:col>
          <xdr:colOff>542925</xdr:colOff>
          <xdr:row>25</xdr:row>
          <xdr:rowOff>19050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24</xdr:row>
          <xdr:rowOff>171450</xdr:rowOff>
        </xdr:from>
        <xdr:to>
          <xdr:col>6</xdr:col>
          <xdr:colOff>542925</xdr:colOff>
          <xdr:row>26</xdr:row>
          <xdr:rowOff>19050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8</xdr:row>
          <xdr:rowOff>171450</xdr:rowOff>
        </xdr:from>
        <xdr:to>
          <xdr:col>6</xdr:col>
          <xdr:colOff>542925</xdr:colOff>
          <xdr:row>10</xdr:row>
          <xdr:rowOff>9525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171450</xdr:rowOff>
        </xdr:from>
        <xdr:to>
          <xdr:col>6</xdr:col>
          <xdr:colOff>542925</xdr:colOff>
          <xdr:row>11</xdr:row>
          <xdr:rowOff>9525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10</xdr:row>
          <xdr:rowOff>171450</xdr:rowOff>
        </xdr:from>
        <xdr:to>
          <xdr:col>6</xdr:col>
          <xdr:colOff>542925</xdr:colOff>
          <xdr:row>12</xdr:row>
          <xdr:rowOff>9525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11</xdr:row>
          <xdr:rowOff>171450</xdr:rowOff>
        </xdr:from>
        <xdr:to>
          <xdr:col>6</xdr:col>
          <xdr:colOff>542925</xdr:colOff>
          <xdr:row>13</xdr:row>
          <xdr:rowOff>9525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12</xdr:row>
          <xdr:rowOff>171450</xdr:rowOff>
        </xdr:from>
        <xdr:to>
          <xdr:col>6</xdr:col>
          <xdr:colOff>542925</xdr:colOff>
          <xdr:row>14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13</xdr:row>
          <xdr:rowOff>171450</xdr:rowOff>
        </xdr:from>
        <xdr:to>
          <xdr:col>6</xdr:col>
          <xdr:colOff>542925</xdr:colOff>
          <xdr:row>15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14</xdr:row>
          <xdr:rowOff>171450</xdr:rowOff>
        </xdr:from>
        <xdr:to>
          <xdr:col>6</xdr:col>
          <xdr:colOff>542925</xdr:colOff>
          <xdr:row>16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15</xdr:row>
          <xdr:rowOff>171450</xdr:rowOff>
        </xdr:from>
        <xdr:to>
          <xdr:col>6</xdr:col>
          <xdr:colOff>542925</xdr:colOff>
          <xdr:row>17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16</xdr:row>
          <xdr:rowOff>171450</xdr:rowOff>
        </xdr:from>
        <xdr:to>
          <xdr:col>6</xdr:col>
          <xdr:colOff>542925</xdr:colOff>
          <xdr:row>18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17</xdr:row>
          <xdr:rowOff>171450</xdr:rowOff>
        </xdr:from>
        <xdr:to>
          <xdr:col>6</xdr:col>
          <xdr:colOff>542925</xdr:colOff>
          <xdr:row>19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18</xdr:row>
          <xdr:rowOff>171450</xdr:rowOff>
        </xdr:from>
        <xdr:to>
          <xdr:col>6</xdr:col>
          <xdr:colOff>542925</xdr:colOff>
          <xdr:row>20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19</xdr:row>
          <xdr:rowOff>171450</xdr:rowOff>
        </xdr:from>
        <xdr:to>
          <xdr:col>6</xdr:col>
          <xdr:colOff>542925</xdr:colOff>
          <xdr:row>21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20</xdr:row>
          <xdr:rowOff>171450</xdr:rowOff>
        </xdr:from>
        <xdr:to>
          <xdr:col>6</xdr:col>
          <xdr:colOff>542925</xdr:colOff>
          <xdr:row>22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21</xdr:row>
          <xdr:rowOff>171450</xdr:rowOff>
        </xdr:from>
        <xdr:to>
          <xdr:col>6</xdr:col>
          <xdr:colOff>542925</xdr:colOff>
          <xdr:row>23</xdr:row>
          <xdr:rowOff>9525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22</xdr:row>
          <xdr:rowOff>171450</xdr:rowOff>
        </xdr:from>
        <xdr:to>
          <xdr:col>6</xdr:col>
          <xdr:colOff>542925</xdr:colOff>
          <xdr:row>24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23</xdr:row>
          <xdr:rowOff>171450</xdr:rowOff>
        </xdr:from>
        <xdr:to>
          <xdr:col>6</xdr:col>
          <xdr:colOff>542925</xdr:colOff>
          <xdr:row>25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24</xdr:row>
          <xdr:rowOff>171450</xdr:rowOff>
        </xdr:from>
        <xdr:to>
          <xdr:col>6</xdr:col>
          <xdr:colOff>542925</xdr:colOff>
          <xdr:row>26</xdr:row>
          <xdr:rowOff>9525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8</xdr:row>
          <xdr:rowOff>171450</xdr:rowOff>
        </xdr:from>
        <xdr:to>
          <xdr:col>6</xdr:col>
          <xdr:colOff>542925</xdr:colOff>
          <xdr:row>10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171450</xdr:rowOff>
        </xdr:from>
        <xdr:to>
          <xdr:col>6</xdr:col>
          <xdr:colOff>542925</xdr:colOff>
          <xdr:row>11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10</xdr:row>
          <xdr:rowOff>171450</xdr:rowOff>
        </xdr:from>
        <xdr:to>
          <xdr:col>6</xdr:col>
          <xdr:colOff>542925</xdr:colOff>
          <xdr:row>12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11</xdr:row>
          <xdr:rowOff>171450</xdr:rowOff>
        </xdr:from>
        <xdr:to>
          <xdr:col>6</xdr:col>
          <xdr:colOff>542925</xdr:colOff>
          <xdr:row>13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12</xdr:row>
          <xdr:rowOff>171450</xdr:rowOff>
        </xdr:from>
        <xdr:to>
          <xdr:col>6</xdr:col>
          <xdr:colOff>542925</xdr:colOff>
          <xdr:row>14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13</xdr:row>
          <xdr:rowOff>171450</xdr:rowOff>
        </xdr:from>
        <xdr:to>
          <xdr:col>6</xdr:col>
          <xdr:colOff>542925</xdr:colOff>
          <xdr:row>15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14</xdr:row>
          <xdr:rowOff>171450</xdr:rowOff>
        </xdr:from>
        <xdr:to>
          <xdr:col>6</xdr:col>
          <xdr:colOff>542925</xdr:colOff>
          <xdr:row>16</xdr:row>
          <xdr:rowOff>9525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15</xdr:row>
          <xdr:rowOff>171450</xdr:rowOff>
        </xdr:from>
        <xdr:to>
          <xdr:col>6</xdr:col>
          <xdr:colOff>542925</xdr:colOff>
          <xdr:row>17</xdr:row>
          <xdr:rowOff>9525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16</xdr:row>
          <xdr:rowOff>171450</xdr:rowOff>
        </xdr:from>
        <xdr:to>
          <xdr:col>6</xdr:col>
          <xdr:colOff>542925</xdr:colOff>
          <xdr:row>18</xdr:row>
          <xdr:rowOff>9525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17</xdr:row>
          <xdr:rowOff>171450</xdr:rowOff>
        </xdr:from>
        <xdr:to>
          <xdr:col>6</xdr:col>
          <xdr:colOff>542925</xdr:colOff>
          <xdr:row>19</xdr:row>
          <xdr:rowOff>9525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18</xdr:row>
          <xdr:rowOff>171450</xdr:rowOff>
        </xdr:from>
        <xdr:to>
          <xdr:col>6</xdr:col>
          <xdr:colOff>542925</xdr:colOff>
          <xdr:row>20</xdr:row>
          <xdr:rowOff>9525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19</xdr:row>
          <xdr:rowOff>171450</xdr:rowOff>
        </xdr:from>
        <xdr:to>
          <xdr:col>6</xdr:col>
          <xdr:colOff>542925</xdr:colOff>
          <xdr:row>21</xdr:row>
          <xdr:rowOff>9525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20</xdr:row>
          <xdr:rowOff>171450</xdr:rowOff>
        </xdr:from>
        <xdr:to>
          <xdr:col>6</xdr:col>
          <xdr:colOff>542925</xdr:colOff>
          <xdr:row>22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21</xdr:row>
          <xdr:rowOff>171450</xdr:rowOff>
        </xdr:from>
        <xdr:to>
          <xdr:col>6</xdr:col>
          <xdr:colOff>542925</xdr:colOff>
          <xdr:row>23</xdr:row>
          <xdr:rowOff>9525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22</xdr:row>
          <xdr:rowOff>171450</xdr:rowOff>
        </xdr:from>
        <xdr:to>
          <xdr:col>6</xdr:col>
          <xdr:colOff>542925</xdr:colOff>
          <xdr:row>24</xdr:row>
          <xdr:rowOff>9525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23</xdr:row>
          <xdr:rowOff>171450</xdr:rowOff>
        </xdr:from>
        <xdr:to>
          <xdr:col>6</xdr:col>
          <xdr:colOff>542925</xdr:colOff>
          <xdr:row>25</xdr:row>
          <xdr:rowOff>9525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24</xdr:row>
          <xdr:rowOff>171450</xdr:rowOff>
        </xdr:from>
        <xdr:to>
          <xdr:col>6</xdr:col>
          <xdr:colOff>542925</xdr:colOff>
          <xdr:row>26</xdr:row>
          <xdr:rowOff>9525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33</xdr:row>
          <xdr:rowOff>180975</xdr:rowOff>
        </xdr:from>
        <xdr:to>
          <xdr:col>4</xdr:col>
          <xdr:colOff>1514475</xdr:colOff>
          <xdr:row>35</xdr:row>
          <xdr:rowOff>19050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D2を計算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29"/>
  <sheetViews>
    <sheetView tabSelected="1" workbookViewId="0"/>
  </sheetViews>
  <sheetFormatPr defaultRowHeight="13.5" x14ac:dyDescent="0.15"/>
  <cols>
    <col min="1" max="1" width="2.625" style="1" customWidth="1"/>
    <col min="2" max="2" width="18.625" style="1" customWidth="1"/>
    <col min="3" max="3" width="6.375" style="1" customWidth="1"/>
    <col min="4" max="4" width="5.5" style="1" customWidth="1"/>
    <col min="5" max="5" width="17.5" style="1" customWidth="1"/>
    <col min="6" max="6" width="3.625" style="1" customWidth="1"/>
    <col min="7" max="9" width="10.625" style="1" customWidth="1"/>
    <col min="10" max="16384" width="9" style="1"/>
  </cols>
  <sheetData>
    <row r="2" spans="2:8" x14ac:dyDescent="0.15">
      <c r="B2" s="26" t="s">
        <v>122</v>
      </c>
      <c r="C2" s="16"/>
      <c r="D2" s="29"/>
      <c r="E2" s="27" t="s">
        <v>24</v>
      </c>
    </row>
    <row r="4" spans="2:8" x14ac:dyDescent="0.15">
      <c r="B4" s="1" t="s">
        <v>7</v>
      </c>
    </row>
    <row r="5" spans="2:8" x14ac:dyDescent="0.15">
      <c r="B5" s="67" t="s">
        <v>5</v>
      </c>
      <c r="C5" s="68"/>
      <c r="D5" s="68"/>
      <c r="E5" s="68"/>
      <c r="F5" s="69"/>
      <c r="G5" s="65" t="s">
        <v>2</v>
      </c>
      <c r="H5" s="66"/>
    </row>
    <row r="6" spans="2:8" ht="14.25" thickBot="1" x14ac:dyDescent="0.2">
      <c r="B6" s="7" t="s">
        <v>27</v>
      </c>
      <c r="C6" s="62" t="s">
        <v>28</v>
      </c>
      <c r="D6" s="63"/>
      <c r="E6" s="63"/>
      <c r="F6" s="64"/>
      <c r="G6" s="9" t="s">
        <v>3</v>
      </c>
      <c r="H6" s="5" t="s">
        <v>4</v>
      </c>
    </row>
    <row r="7" spans="2:8" ht="14.25" thickTop="1" x14ac:dyDescent="0.15">
      <c r="B7" s="18" t="s">
        <v>0</v>
      </c>
      <c r="C7" s="20" t="s">
        <v>63</v>
      </c>
      <c r="D7" s="21"/>
      <c r="E7" s="21"/>
      <c r="F7" s="22"/>
      <c r="G7" s="19" t="e">
        <v>#N/A</v>
      </c>
      <c r="H7" s="18" t="e">
        <v>#N/A</v>
      </c>
    </row>
    <row r="8" spans="2:8" x14ac:dyDescent="0.15">
      <c r="B8" s="4" t="s">
        <v>1</v>
      </c>
      <c r="C8" s="8" t="s">
        <v>64</v>
      </c>
      <c r="D8" s="16"/>
      <c r="E8" s="16"/>
      <c r="F8" s="17"/>
      <c r="G8" s="10" t="e">
        <v>#N/A</v>
      </c>
      <c r="H8" s="4" t="e">
        <v>#N/A</v>
      </c>
    </row>
    <row r="9" spans="2:8" x14ac:dyDescent="0.15">
      <c r="B9" s="18" t="s">
        <v>6</v>
      </c>
      <c r="C9" s="20" t="s">
        <v>65</v>
      </c>
      <c r="D9" s="21"/>
      <c r="E9" s="21"/>
      <c r="F9" s="22"/>
      <c r="G9" s="19" t="e">
        <v>#N/A</v>
      </c>
      <c r="H9" s="18" t="e">
        <v>#N/A</v>
      </c>
    </row>
    <row r="10" spans="2:8" x14ac:dyDescent="0.15">
      <c r="B10" s="35" t="s">
        <v>25</v>
      </c>
      <c r="C10" s="51" t="s">
        <v>66</v>
      </c>
      <c r="D10" s="52"/>
      <c r="E10" s="52"/>
      <c r="F10" s="53"/>
      <c r="G10" s="37" t="e">
        <v>#N/A</v>
      </c>
      <c r="H10" s="35" t="e">
        <v>#N/A</v>
      </c>
    </row>
    <row r="11" spans="2:8" x14ac:dyDescent="0.15">
      <c r="B11" s="30" t="s">
        <v>26</v>
      </c>
      <c r="C11" s="31" t="s">
        <v>67</v>
      </c>
      <c r="D11" s="32"/>
      <c r="E11" s="32"/>
      <c r="F11" s="33"/>
      <c r="G11" s="34" t="e">
        <v>#N/A</v>
      </c>
      <c r="H11" s="30" t="e">
        <v>#N/A</v>
      </c>
    </row>
    <row r="12" spans="2:8" x14ac:dyDescent="0.15">
      <c r="B12" s="35" t="s">
        <v>8</v>
      </c>
      <c r="C12" s="51" t="s">
        <v>68</v>
      </c>
      <c r="D12" s="52"/>
      <c r="E12" s="52"/>
      <c r="F12" s="53"/>
      <c r="G12" s="37" t="e">
        <v>#N/A</v>
      </c>
      <c r="H12" s="35" t="e">
        <v>#N/A</v>
      </c>
    </row>
    <row r="13" spans="2:8" x14ac:dyDescent="0.15">
      <c r="B13" s="30" t="s">
        <v>9</v>
      </c>
      <c r="C13" s="31" t="s">
        <v>69</v>
      </c>
      <c r="D13" s="32"/>
      <c r="E13" s="32"/>
      <c r="F13" s="33"/>
      <c r="G13" s="34" t="e">
        <v>#N/A</v>
      </c>
      <c r="H13" s="30" t="e">
        <v>#N/A</v>
      </c>
    </row>
    <row r="14" spans="2:8" x14ac:dyDescent="0.15">
      <c r="B14" s="35" t="s">
        <v>29</v>
      </c>
      <c r="C14" s="51" t="s">
        <v>70</v>
      </c>
      <c r="D14" s="52"/>
      <c r="E14" s="52"/>
      <c r="F14" s="53"/>
      <c r="G14" s="37" t="e">
        <v>#N/A</v>
      </c>
      <c r="H14" s="35" t="e">
        <v>#N/A</v>
      </c>
    </row>
    <row r="15" spans="2:8" x14ac:dyDescent="0.15">
      <c r="B15" s="30" t="s">
        <v>30</v>
      </c>
      <c r="C15" s="31" t="s">
        <v>71</v>
      </c>
      <c r="D15" s="32"/>
      <c r="E15" s="32"/>
      <c r="F15" s="33"/>
      <c r="G15" s="34" t="e">
        <v>#N/A</v>
      </c>
      <c r="H15" s="30" t="e">
        <v>#N/A</v>
      </c>
    </row>
    <row r="16" spans="2:8" x14ac:dyDescent="0.15">
      <c r="B16" s="35" t="s">
        <v>31</v>
      </c>
      <c r="C16" s="51" t="s">
        <v>72</v>
      </c>
      <c r="D16" s="52"/>
      <c r="E16" s="52"/>
      <c r="F16" s="53"/>
      <c r="G16" s="37" t="e">
        <v>#N/A</v>
      </c>
      <c r="H16" s="35" t="e">
        <v>#N/A</v>
      </c>
    </row>
    <row r="17" spans="2:8" x14ac:dyDescent="0.15">
      <c r="B17" s="30" t="s">
        <v>32</v>
      </c>
      <c r="C17" s="31" t="s">
        <v>73</v>
      </c>
      <c r="D17" s="32"/>
      <c r="E17" s="32"/>
      <c r="F17" s="33"/>
      <c r="G17" s="34" t="e">
        <v>#N/A</v>
      </c>
      <c r="H17" s="30" t="e">
        <v>#N/A</v>
      </c>
    </row>
    <row r="18" spans="2:8" x14ac:dyDescent="0.15">
      <c r="B18" s="35" t="s">
        <v>125</v>
      </c>
      <c r="C18" s="51" t="s">
        <v>126</v>
      </c>
      <c r="D18" s="52"/>
      <c r="E18" s="52"/>
      <c r="F18" s="53"/>
      <c r="G18" s="37" t="e">
        <v>#N/A</v>
      </c>
      <c r="H18" s="35" t="e">
        <v>#N/A</v>
      </c>
    </row>
    <row r="19" spans="2:8" x14ac:dyDescent="0.15">
      <c r="B19" s="30" t="s">
        <v>33</v>
      </c>
      <c r="C19" s="31" t="s">
        <v>74</v>
      </c>
      <c r="D19" s="32"/>
      <c r="E19" s="32"/>
      <c r="F19" s="33"/>
      <c r="G19" s="34" t="e">
        <v>#N/A</v>
      </c>
      <c r="H19" s="30" t="e">
        <v>#N/A</v>
      </c>
    </row>
    <row r="20" spans="2:8" x14ac:dyDescent="0.15">
      <c r="B20" s="35" t="s">
        <v>34</v>
      </c>
      <c r="C20" s="51" t="s">
        <v>75</v>
      </c>
      <c r="D20" s="52"/>
      <c r="E20" s="52"/>
      <c r="F20" s="53"/>
      <c r="G20" s="37" t="e">
        <v>#N/A</v>
      </c>
      <c r="H20" s="35" t="e">
        <v>#N/A</v>
      </c>
    </row>
    <row r="21" spans="2:8" x14ac:dyDescent="0.15">
      <c r="B21" s="30" t="s">
        <v>35</v>
      </c>
      <c r="C21" s="31" t="s">
        <v>100</v>
      </c>
      <c r="D21" s="32"/>
      <c r="E21" s="32"/>
      <c r="F21" s="33"/>
      <c r="G21" s="34" t="e">
        <v>#N/A</v>
      </c>
      <c r="H21" s="30" t="e">
        <v>#N/A</v>
      </c>
    </row>
    <row r="22" spans="2:8" x14ac:dyDescent="0.15">
      <c r="B22" s="35" t="s">
        <v>36</v>
      </c>
      <c r="C22" s="51" t="s">
        <v>76</v>
      </c>
      <c r="D22" s="52"/>
      <c r="E22" s="52"/>
      <c r="F22" s="53"/>
      <c r="G22" s="37" t="e">
        <v>#N/A</v>
      </c>
      <c r="H22" s="35" t="e">
        <v>#N/A</v>
      </c>
    </row>
    <row r="23" spans="2:8" x14ac:dyDescent="0.15">
      <c r="B23" s="30" t="s">
        <v>21</v>
      </c>
      <c r="C23" s="31" t="s">
        <v>77</v>
      </c>
      <c r="D23" s="32"/>
      <c r="E23" s="32"/>
      <c r="F23" s="33"/>
      <c r="G23" s="34" t="e">
        <v>#N/A</v>
      </c>
      <c r="H23" s="30" t="e">
        <v>#N/A</v>
      </c>
    </row>
    <row r="24" spans="2:8" x14ac:dyDescent="0.15">
      <c r="B24" s="35" t="s">
        <v>22</v>
      </c>
      <c r="C24" s="51" t="s">
        <v>78</v>
      </c>
      <c r="D24" s="52"/>
      <c r="E24" s="52"/>
      <c r="F24" s="53"/>
      <c r="G24" s="37" t="e">
        <v>#N/A</v>
      </c>
      <c r="H24" s="35" t="e">
        <v>#N/A</v>
      </c>
    </row>
    <row r="25" spans="2:8" x14ac:dyDescent="0.15">
      <c r="B25" s="30" t="s">
        <v>20</v>
      </c>
      <c r="C25" s="31" t="s">
        <v>79</v>
      </c>
      <c r="D25" s="32"/>
      <c r="E25" s="32"/>
      <c r="F25" s="33"/>
      <c r="G25" s="34" t="e">
        <v>#N/A</v>
      </c>
      <c r="H25" s="30" t="e">
        <v>#N/A</v>
      </c>
    </row>
    <row r="26" spans="2:8" x14ac:dyDescent="0.15">
      <c r="B26" s="35"/>
      <c r="C26" s="51"/>
      <c r="D26" s="52"/>
      <c r="E26" s="52"/>
      <c r="F26" s="53"/>
      <c r="G26" s="37" t="e">
        <v>#N/A</v>
      </c>
      <c r="H26" s="35" t="e">
        <v>#N/A</v>
      </c>
    </row>
    <row r="28" spans="2:8" x14ac:dyDescent="0.15">
      <c r="B28" s="2" t="s">
        <v>23</v>
      </c>
    </row>
    <row r="29" spans="2:8" x14ac:dyDescent="0.15">
      <c r="B29" s="2" t="s">
        <v>24</v>
      </c>
    </row>
  </sheetData>
  <mergeCells count="3">
    <mergeCell ref="C6:F6"/>
    <mergeCell ref="G5:H5"/>
    <mergeCell ref="B5:F5"/>
  </mergeCells>
  <phoneticPr fontId="1"/>
  <dataValidations count="1">
    <dataValidation type="list" allowBlank="1" showInputMessage="1" showErrorMessage="1" sqref="E2">
      <formula1>$B$28:$B$29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23"/>
  <sheetViews>
    <sheetView workbookViewId="0">
      <selection activeCell="B10" sqref="B10"/>
    </sheetView>
  </sheetViews>
  <sheetFormatPr defaultRowHeight="13.5" x14ac:dyDescent="0.15"/>
  <cols>
    <col min="1" max="1" width="2.625" style="1" customWidth="1"/>
    <col min="2" max="2" width="30.625" style="1" customWidth="1"/>
    <col min="3" max="3" width="25.625" style="1" customWidth="1"/>
    <col min="4" max="4" width="30.625" style="1" customWidth="1"/>
    <col min="5" max="6" width="10.625" style="1" customWidth="1"/>
    <col min="7" max="16384" width="9" style="1"/>
  </cols>
  <sheetData>
    <row r="3" spans="2:4" x14ac:dyDescent="0.15">
      <c r="B3" s="1" t="s">
        <v>10</v>
      </c>
    </row>
    <row r="4" spans="2:4" x14ac:dyDescent="0.15">
      <c r="B4" s="67" t="s">
        <v>13</v>
      </c>
      <c r="C4" s="70"/>
      <c r="D4" s="71" t="s">
        <v>12</v>
      </c>
    </row>
    <row r="5" spans="2:4" ht="14.25" thickBot="1" x14ac:dyDescent="0.2">
      <c r="B5" s="7" t="s">
        <v>27</v>
      </c>
      <c r="C5" s="15" t="s">
        <v>39</v>
      </c>
      <c r="D5" s="72"/>
    </row>
    <row r="6" spans="2:4" ht="14.25" thickTop="1" x14ac:dyDescent="0.15">
      <c r="B6" s="18" t="s">
        <v>38</v>
      </c>
      <c r="C6" s="23" t="s">
        <v>11</v>
      </c>
      <c r="D6" s="19" t="e">
        <f>SQRT((人類学的標記点!G12-人類学的標記点!G13)^2+(人類学的標記点!H12-人類学的標記点!H13)^2)</f>
        <v>#N/A</v>
      </c>
    </row>
    <row r="7" spans="2:4" x14ac:dyDescent="0.15">
      <c r="B7" s="2" t="s">
        <v>40</v>
      </c>
      <c r="C7" s="3" t="s">
        <v>37</v>
      </c>
      <c r="D7" s="11" t="e">
        <f>SQRT((人類学的標記点!G23-人類学的標記点!G24)^2+(人類学的標記点!H23-人類学的標記点!H24)^2)</f>
        <v>#N/A</v>
      </c>
    </row>
    <row r="8" spans="2:4" x14ac:dyDescent="0.15">
      <c r="B8" s="44" t="s">
        <v>41</v>
      </c>
      <c r="C8" s="45" t="s">
        <v>42</v>
      </c>
      <c r="D8" s="55" t="e">
        <f>IF(ISNA(人類学的標記点!G18),SQRT((人類学的標記点!G7-人類学的標記点!G25)^2+(人類学的標記点!H7-人類学的標記点!H25)^2),SQRT((人類学的標記点!G7-人類学的標記点!G17)^2+(人類学的標記点!H7-人類学的標記点!H17)^2)+SQRT((人類学的標記点!G18-人類学的標記点!G25)^2+(人類学的標記点!H18-人類学的標記点!H25)^2))</f>
        <v>#N/A</v>
      </c>
    </row>
    <row r="9" spans="2:4" x14ac:dyDescent="0.15">
      <c r="B9" s="24" t="s">
        <v>169</v>
      </c>
      <c r="C9" s="25" t="s">
        <v>45</v>
      </c>
      <c r="D9" s="54" t="e">
        <f>SQRT((人類学的標記点!G7-人類学的標記点!G17)^2+(人類学的標記点!H7-人類学的標記点!H17)^2)</f>
        <v>#N/A</v>
      </c>
    </row>
    <row r="10" spans="2:4" x14ac:dyDescent="0.15">
      <c r="B10" s="44" t="s">
        <v>46</v>
      </c>
      <c r="C10" s="45" t="s">
        <v>47</v>
      </c>
      <c r="D10" s="55" t="e">
        <f>IF(ISNA(人類学的標記点!G18),SQRT((人類学的標記点!G17-人類学的標記点!G25)^2+(人類学的標記点!H17-人類学的標記点!H25)^2),SQRT((人類学的標記点!G18-人類学的標記点!G25)^2+(人類学的標記点!H18-人類学的標記点!H25)^2))</f>
        <v>#N/A</v>
      </c>
    </row>
    <row r="11" spans="2:4" x14ac:dyDescent="0.15">
      <c r="B11" s="35" t="s">
        <v>48</v>
      </c>
      <c r="C11" s="36" t="s">
        <v>49</v>
      </c>
      <c r="D11" s="37" t="e">
        <f>SQRT((人類学的標記点!G8-人類学的標記点!G9)^2+(人類学的標記点!H8-人類学的標記点!H9)^2)</f>
        <v>#N/A</v>
      </c>
    </row>
    <row r="12" spans="2:4" x14ac:dyDescent="0.15">
      <c r="B12" s="44" t="s">
        <v>51</v>
      </c>
      <c r="C12" s="45" t="s">
        <v>52</v>
      </c>
      <c r="D12" s="55" t="e">
        <f>SQRT((人類学的標記点!G10-人類学的標記点!G11)^2+(人類学的標記点!H10-人類学的標記点!H11)^2)</f>
        <v>#N/A</v>
      </c>
    </row>
    <row r="13" spans="2:4" x14ac:dyDescent="0.15">
      <c r="B13" s="35" t="s">
        <v>53</v>
      </c>
      <c r="C13" s="36" t="s">
        <v>54</v>
      </c>
      <c r="D13" s="37" t="e">
        <f>SQRT((人類学的標記点!G8-人類学的標記点!G10)^2+(人類学的標記点!H8-人類学的標記点!H10)^2)</f>
        <v>#N/A</v>
      </c>
    </row>
    <row r="14" spans="2:4" x14ac:dyDescent="0.15">
      <c r="B14" s="44" t="s">
        <v>55</v>
      </c>
      <c r="C14" s="45" t="s">
        <v>56</v>
      </c>
      <c r="D14" s="55" t="e">
        <f>SQRT((人類学的標記点!G9-人類学的標記点!G11)^2+(人類学的標記点!H9-人類学的標記点!H11)^2)</f>
        <v>#N/A</v>
      </c>
    </row>
    <row r="15" spans="2:4" x14ac:dyDescent="0.15">
      <c r="B15" s="24" t="s">
        <v>58</v>
      </c>
      <c r="C15" s="25" t="s">
        <v>59</v>
      </c>
      <c r="D15" s="54" t="e">
        <f>SQRT((人類学的標記点!G14-人類学的標記点!G15)^2+(人類学的標記点!H14-人類学的標記点!H15)^2)</f>
        <v>#N/A</v>
      </c>
    </row>
    <row r="16" spans="2:4" x14ac:dyDescent="0.15">
      <c r="B16" s="30" t="s">
        <v>60</v>
      </c>
      <c r="C16" s="46" t="s">
        <v>84</v>
      </c>
      <c r="D16" s="34" t="e">
        <f>SQRT((人類学的標記点!G7-人類学的標記点!G16)^2+(人類学的標記点!H7-人類学的標記点!H16)^2)</f>
        <v>#N/A</v>
      </c>
    </row>
    <row r="17" spans="2:4" x14ac:dyDescent="0.15">
      <c r="B17" s="24" t="s">
        <v>61</v>
      </c>
      <c r="C17" s="25" t="s">
        <v>62</v>
      </c>
      <c r="D17" s="54" t="e">
        <f>SQRT((人類学的標記点!G19-人類学的標記点!G20)^2+(人類学的標記点!H19-人類学的標記点!H20)^2)</f>
        <v>#N/A</v>
      </c>
    </row>
    <row r="18" spans="2:4" x14ac:dyDescent="0.15">
      <c r="B18" s="30" t="s">
        <v>80</v>
      </c>
      <c r="C18" s="46" t="s">
        <v>99</v>
      </c>
      <c r="D18" s="34" t="e">
        <f>IF(ISNA(人類学的標記点!G18),SQRT((人類学的標記点!G21-人類学的標記点!G22)^2+(人類学的標記点!H21-人類学的標記点!H22)^2),SQRT((人類学的標記点!G21-人類学的標記点!G17)^2+(人類学的標記点!H21-人類学的標記点!H17)^2)+SQRT((人類学的標記点!G18-人類学的標記点!G22)^2+(人類学的標記点!H18-人類学的標記点!H22)^2))</f>
        <v>#N/A</v>
      </c>
    </row>
    <row r="19" spans="2:4" x14ac:dyDescent="0.15">
      <c r="B19" s="24" t="s">
        <v>81</v>
      </c>
      <c r="C19" s="25" t="s">
        <v>101</v>
      </c>
      <c r="D19" s="54" t="e">
        <f>SQRT((人類学的標記点!G17-人類学的標記点!G21)^2+(人類学的標記点!H17-人類学的標記点!H21)^2)</f>
        <v>#N/A</v>
      </c>
    </row>
    <row r="20" spans="2:4" x14ac:dyDescent="0.15">
      <c r="B20" s="30" t="s">
        <v>82</v>
      </c>
      <c r="C20" s="46" t="s">
        <v>102</v>
      </c>
      <c r="D20" s="34" t="e">
        <f>IF(ISNA(人類学的標記点!G18),SQRT((人類学的標記点!G17-人類学的標記点!G22)^2+(人類学的標記点!H17-人類学的標記点!H22)^2),SQRT((人類学的標記点!G18-人類学的標記点!G22)^2+(人類学的標記点!H18-人類学的標記点!H22)^2))</f>
        <v>#N/A</v>
      </c>
    </row>
    <row r="21" spans="2:4" x14ac:dyDescent="0.15">
      <c r="B21" s="24" t="s">
        <v>83</v>
      </c>
      <c r="C21" s="25" t="s">
        <v>103</v>
      </c>
      <c r="D21" s="54" t="e">
        <f>SQRT((人類学的標記点!G16-人類学的標記点!G17)^2+(人類学的標記点!H16-人類学的標記点!H17)^2)</f>
        <v>#N/A</v>
      </c>
    </row>
    <row r="22" spans="2:4" x14ac:dyDescent="0.15">
      <c r="B22" s="30" t="s">
        <v>109</v>
      </c>
      <c r="C22" s="46" t="s">
        <v>110</v>
      </c>
      <c r="D22" s="34" t="e">
        <f>IF(ISNA(人類学的標記点!G18),SQRT((人類学的標記点!G16-人類学的標記点!G25)^2+(人類学的標記点!H16-人類学的標記点!H25)^2),SQRT((人類学的標記点!G16-人類学的標記点!G17)^2+(人類学的標記点!H16-人類学的標記点!H17)^2)+SQRT((人類学的標記点!G18-人類学的標記点!G25)^2+(人類学的標記点!H18-人類学的標記点!H25)^2))</f>
        <v>#N/A</v>
      </c>
    </row>
    <row r="23" spans="2:4" x14ac:dyDescent="0.15">
      <c r="B23" s="35"/>
      <c r="C23" s="36"/>
      <c r="D23" s="37"/>
    </row>
  </sheetData>
  <mergeCells count="2">
    <mergeCell ref="B4:C4"/>
    <mergeCell ref="D4:D5"/>
  </mergeCells>
  <phoneticPr fontId="1"/>
  <pageMargins left="0.70866141732283472" right="0.70866141732283472" top="0.74803149606299213" bottom="0.74803149606299213" header="0.31496062992125984" footer="0.31496062992125984"/>
  <pageSetup paperSize="9" scale="9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47"/>
  <sheetViews>
    <sheetView topLeftCell="A19" workbookViewId="0">
      <selection activeCell="E38" sqref="E38"/>
    </sheetView>
  </sheetViews>
  <sheetFormatPr defaultRowHeight="13.5" x14ac:dyDescent="0.15"/>
  <cols>
    <col min="1" max="1" width="3.5" style="1" customWidth="1"/>
    <col min="2" max="2" width="2.625" style="1" customWidth="1"/>
    <col min="3" max="3" width="30.625" style="1" customWidth="1"/>
    <col min="4" max="4" width="33.625" style="1" customWidth="1"/>
    <col min="5" max="5" width="22.625" style="1" customWidth="1"/>
    <col min="6" max="6" width="13.625" style="1" customWidth="1"/>
    <col min="7" max="16384" width="9" style="1"/>
  </cols>
  <sheetData>
    <row r="2" spans="2:9" x14ac:dyDescent="0.15">
      <c r="C2" s="28" t="s">
        <v>122</v>
      </c>
      <c r="D2" s="27" t="str">
        <f>人類学的標記点!E2</f>
        <v>女</v>
      </c>
    </row>
    <row r="3" spans="2:9" x14ac:dyDescent="0.15">
      <c r="C3" s="13"/>
      <c r="D3" s="12"/>
      <c r="E3" s="6"/>
      <c r="F3" s="6"/>
    </row>
    <row r="4" spans="2:9" x14ac:dyDescent="0.15">
      <c r="C4" s="1" t="s">
        <v>14</v>
      </c>
    </row>
    <row r="5" spans="2:9" x14ac:dyDescent="0.15">
      <c r="B5" s="41"/>
      <c r="C5" s="73" t="s">
        <v>15</v>
      </c>
      <c r="D5" s="74"/>
      <c r="E5" s="75"/>
      <c r="F5" s="71" t="s">
        <v>17</v>
      </c>
      <c r="G5" s="41" t="s">
        <v>160</v>
      </c>
    </row>
    <row r="6" spans="2:9" x14ac:dyDescent="0.15">
      <c r="B6" s="42"/>
      <c r="C6" s="76"/>
      <c r="D6" s="77"/>
      <c r="E6" s="78"/>
      <c r="F6" s="79"/>
      <c r="G6" s="42" t="s">
        <v>161</v>
      </c>
    </row>
    <row r="7" spans="2:9" ht="14.25" thickBot="1" x14ac:dyDescent="0.2">
      <c r="B7" s="4"/>
      <c r="C7" s="7" t="s">
        <v>43</v>
      </c>
      <c r="D7" s="7" t="s">
        <v>44</v>
      </c>
      <c r="E7" s="14" t="s">
        <v>95</v>
      </c>
      <c r="F7" s="80"/>
      <c r="G7" s="59"/>
    </row>
    <row r="8" spans="2:9" ht="15" customHeight="1" thickTop="1" x14ac:dyDescent="0.15">
      <c r="B8" s="2">
        <v>1</v>
      </c>
      <c r="C8" s="29" t="s">
        <v>16</v>
      </c>
      <c r="D8" s="2" t="s">
        <v>18</v>
      </c>
      <c r="E8" s="3" t="s">
        <v>19</v>
      </c>
      <c r="F8" s="11" t="e">
        <f>IF(I8,人類学的計測長!D8*100/人類学的計測長!D6,NA())</f>
        <v>#N/A</v>
      </c>
      <c r="G8" s="60"/>
      <c r="I8" s="1" t="b">
        <v>1</v>
      </c>
    </row>
    <row r="9" spans="2:9" ht="15" customHeight="1" x14ac:dyDescent="0.15">
      <c r="B9" s="2">
        <v>2</v>
      </c>
      <c r="C9" s="39" t="s">
        <v>130</v>
      </c>
      <c r="D9" s="18" t="s">
        <v>131</v>
      </c>
      <c r="E9" s="23" t="s">
        <v>57</v>
      </c>
      <c r="F9" s="19" t="e">
        <f>IF(I9,人類学的計測長!D9*100/人類学的計測長!D6,NA())</f>
        <v>#N/A</v>
      </c>
      <c r="G9" s="60"/>
      <c r="I9" s="1" t="b">
        <v>1</v>
      </c>
    </row>
    <row r="10" spans="2:9" ht="15" customHeight="1" x14ac:dyDescent="0.15">
      <c r="B10" s="2">
        <v>3</v>
      </c>
      <c r="C10" s="29" t="s">
        <v>50</v>
      </c>
      <c r="D10" s="2" t="s">
        <v>104</v>
      </c>
      <c r="E10" s="3" t="s">
        <v>98</v>
      </c>
      <c r="F10" s="11" t="e">
        <f>IF(I10,人類学的計測長!D15*100/人類学的計測長!D16,NA())</f>
        <v>#N/A</v>
      </c>
      <c r="G10" s="60"/>
      <c r="I10" s="1" t="b">
        <v>1</v>
      </c>
    </row>
    <row r="11" spans="2:9" ht="15" customHeight="1" x14ac:dyDescent="0.15">
      <c r="B11" s="2">
        <v>4</v>
      </c>
      <c r="C11" s="39" t="s">
        <v>92</v>
      </c>
      <c r="D11" s="18" t="s">
        <v>97</v>
      </c>
      <c r="E11" s="23" t="s">
        <v>90</v>
      </c>
      <c r="F11" s="19" t="e">
        <f>IF(I11,人類学的計測長!D18*100/人類学的計測長!D17,NA())</f>
        <v>#N/A</v>
      </c>
      <c r="G11" s="60"/>
      <c r="I11" s="1" t="b">
        <v>1</v>
      </c>
    </row>
    <row r="12" spans="2:9" ht="15" customHeight="1" x14ac:dyDescent="0.15">
      <c r="B12" s="2">
        <v>5</v>
      </c>
      <c r="C12" s="29" t="s">
        <v>85</v>
      </c>
      <c r="D12" s="2"/>
      <c r="E12" s="3" t="s">
        <v>105</v>
      </c>
      <c r="F12" s="11" t="e">
        <f>IF(I12,人類学的計測長!D11*100/人類学的計測長!D6,NA())</f>
        <v>#N/A</v>
      </c>
      <c r="G12" s="60"/>
      <c r="I12" s="1" t="b">
        <v>1</v>
      </c>
    </row>
    <row r="13" spans="2:9" ht="15" customHeight="1" x14ac:dyDescent="0.15">
      <c r="B13" s="2">
        <v>6</v>
      </c>
      <c r="C13" s="43" t="s">
        <v>91</v>
      </c>
      <c r="D13" s="44"/>
      <c r="E13" s="45" t="s">
        <v>108</v>
      </c>
      <c r="F13" s="55" t="e">
        <f>IF(I13,人類学的計測長!D16*100/人類学的計測長!D8,NA())</f>
        <v>#N/A</v>
      </c>
      <c r="G13" s="60"/>
      <c r="I13" s="1" t="b">
        <v>1</v>
      </c>
    </row>
    <row r="14" spans="2:9" s="47" customFormat="1" ht="15" customHeight="1" x14ac:dyDescent="0.15">
      <c r="B14" s="24">
        <v>7</v>
      </c>
      <c r="C14" s="40" t="s">
        <v>120</v>
      </c>
      <c r="D14" s="24"/>
      <c r="E14" s="25" t="s">
        <v>121</v>
      </c>
      <c r="F14" s="54" t="e">
        <f>IF(I14,人類学的計測長!D11*100/人類学的計測長!D15,NA())</f>
        <v>#N/A</v>
      </c>
      <c r="G14" s="60"/>
      <c r="I14" s="1" t="b">
        <v>1</v>
      </c>
    </row>
    <row r="15" spans="2:9" ht="15" customHeight="1" x14ac:dyDescent="0.15">
      <c r="B15" s="2">
        <v>8</v>
      </c>
      <c r="C15" s="39" t="s">
        <v>86</v>
      </c>
      <c r="D15" s="18"/>
      <c r="E15" s="23" t="s">
        <v>106</v>
      </c>
      <c r="F15" s="19" t="e">
        <f>IF(I15,人類学的計測長!D15*100/人類学的計測長!D6,NA())</f>
        <v>#N/A</v>
      </c>
      <c r="G15" s="60"/>
      <c r="I15" s="1" t="b">
        <v>1</v>
      </c>
    </row>
    <row r="16" spans="2:9" ht="15" customHeight="1" x14ac:dyDescent="0.15">
      <c r="B16" s="2">
        <v>9</v>
      </c>
      <c r="C16" s="29" t="s">
        <v>87</v>
      </c>
      <c r="D16" s="2"/>
      <c r="E16" s="3" t="s">
        <v>107</v>
      </c>
      <c r="F16" s="11" t="e">
        <f>IF(I16,人類学的計測長!D17*100/人類学的計測長!D6,NA())</f>
        <v>#N/A</v>
      </c>
      <c r="G16" s="60"/>
      <c r="I16" s="1" t="b">
        <v>1</v>
      </c>
    </row>
    <row r="17" spans="1:9" ht="15" customHeight="1" x14ac:dyDescent="0.15">
      <c r="B17" s="2">
        <v>12</v>
      </c>
      <c r="C17" s="43" t="s">
        <v>88</v>
      </c>
      <c r="D17" s="44"/>
      <c r="E17" s="45" t="s">
        <v>89</v>
      </c>
      <c r="F17" s="55" t="e">
        <f>IF(I17,人類学的計測長!D7*100/人類学的計測長!D6,NA())</f>
        <v>#N/A</v>
      </c>
      <c r="G17" s="60"/>
      <c r="I17" s="1" t="b">
        <v>1</v>
      </c>
    </row>
    <row r="18" spans="1:9" ht="15" customHeight="1" x14ac:dyDescent="0.15">
      <c r="B18" s="2">
        <v>13</v>
      </c>
      <c r="C18" s="29" t="s">
        <v>93</v>
      </c>
      <c r="D18" s="2"/>
      <c r="E18" s="3" t="s">
        <v>111</v>
      </c>
      <c r="F18" s="11" t="e">
        <f>IF(I18,人類学的計測長!D19*100/人類学的計測長!D20,NA())</f>
        <v>#N/A</v>
      </c>
      <c r="G18" s="60"/>
      <c r="I18" s="1" t="b">
        <v>1</v>
      </c>
    </row>
    <row r="19" spans="1:9" ht="15" customHeight="1" x14ac:dyDescent="0.15">
      <c r="B19" s="2">
        <v>14</v>
      </c>
      <c r="C19" s="43" t="s">
        <v>94</v>
      </c>
      <c r="D19" s="44"/>
      <c r="E19" s="45" t="s">
        <v>96</v>
      </c>
      <c r="F19" s="55" t="e">
        <f>IF(I19,人類学的計測長!D21*100/人類学的計測長!D10,NA())</f>
        <v>#N/A</v>
      </c>
      <c r="G19" s="60"/>
      <c r="I19" s="1" t="b">
        <v>1</v>
      </c>
    </row>
    <row r="20" spans="1:9" ht="15" customHeight="1" x14ac:dyDescent="0.15">
      <c r="B20" s="2">
        <v>15</v>
      </c>
      <c r="C20" s="40" t="s">
        <v>116</v>
      </c>
      <c r="D20" s="24"/>
      <c r="E20" s="25" t="s">
        <v>117</v>
      </c>
      <c r="F20" s="54" t="e">
        <f>IF(I20,人類学的計測長!D11*100/人類学的計測長!D17,NA())</f>
        <v>#N/A</v>
      </c>
      <c r="G20" s="60"/>
      <c r="I20" s="1" t="b">
        <v>1</v>
      </c>
    </row>
    <row r="21" spans="1:9" ht="15" customHeight="1" x14ac:dyDescent="0.15">
      <c r="B21" s="2">
        <v>16</v>
      </c>
      <c r="C21" s="43" t="s">
        <v>118</v>
      </c>
      <c r="D21" s="44"/>
      <c r="E21" s="45" t="s">
        <v>119</v>
      </c>
      <c r="F21" s="55" t="e">
        <f>IF(I21,人類学的計測長!D15*100/人類学的計測長!D17,NA())</f>
        <v>#N/A</v>
      </c>
      <c r="G21" s="60"/>
      <c r="I21" s="1" t="b">
        <v>1</v>
      </c>
    </row>
    <row r="22" spans="1:9" ht="15" customHeight="1" x14ac:dyDescent="0.15">
      <c r="B22" s="41">
        <v>17</v>
      </c>
      <c r="C22" s="48" t="s">
        <v>127</v>
      </c>
      <c r="D22" s="41" t="s">
        <v>129</v>
      </c>
      <c r="E22" s="38" t="s">
        <v>112</v>
      </c>
      <c r="F22" s="56" t="e">
        <f>IF(I22,人類学的計測長!D10*100/人類学的計測長!D7,NA())</f>
        <v>#N/A</v>
      </c>
      <c r="G22" s="60"/>
      <c r="I22" s="1" t="b">
        <v>1</v>
      </c>
    </row>
    <row r="23" spans="1:9" ht="15" customHeight="1" x14ac:dyDescent="0.15">
      <c r="A23" s="49"/>
      <c r="B23" s="2">
        <v>18</v>
      </c>
      <c r="C23" s="44" t="s">
        <v>123</v>
      </c>
      <c r="D23" s="44"/>
      <c r="E23" s="50" t="s">
        <v>124</v>
      </c>
      <c r="F23" s="55" t="e">
        <f>IF(I23,人類学的計測長!D8*100/人類学的計測長!D7,NA())</f>
        <v>#N/A</v>
      </c>
      <c r="G23" s="60"/>
      <c r="I23" s="1" t="b">
        <v>1</v>
      </c>
    </row>
    <row r="24" spans="1:9" ht="15" customHeight="1" x14ac:dyDescent="0.15">
      <c r="B24" s="2">
        <v>19</v>
      </c>
      <c r="C24" s="29" t="s">
        <v>167</v>
      </c>
      <c r="D24" s="2"/>
      <c r="E24" s="3" t="s">
        <v>113</v>
      </c>
      <c r="F24" s="11" t="e">
        <f>IF(I24,人類学的計測長!D9*100/人類学的計測長!D8,NA())</f>
        <v>#N/A</v>
      </c>
      <c r="G24" s="60"/>
      <c r="I24" s="1" t="b">
        <v>1</v>
      </c>
    </row>
    <row r="25" spans="1:9" ht="15" customHeight="1" x14ac:dyDescent="0.15">
      <c r="B25" s="2">
        <v>20</v>
      </c>
      <c r="C25" s="43" t="s">
        <v>128</v>
      </c>
      <c r="D25" s="44" t="s">
        <v>132</v>
      </c>
      <c r="E25" s="45" t="s">
        <v>114</v>
      </c>
      <c r="F25" s="55" t="e">
        <f>IF(I25,人類学的計測長!D11*100/人類学的計測長!D12,NA())</f>
        <v>#N/A</v>
      </c>
      <c r="G25" s="60"/>
      <c r="I25" s="1" t="b">
        <v>1</v>
      </c>
    </row>
    <row r="26" spans="1:9" ht="15" customHeight="1" x14ac:dyDescent="0.15">
      <c r="B26" s="2">
        <v>21</v>
      </c>
      <c r="C26" s="29" t="s">
        <v>168</v>
      </c>
      <c r="D26" s="2"/>
      <c r="E26" s="3" t="s">
        <v>115</v>
      </c>
      <c r="F26" s="11" t="e">
        <f>IF(I26,人類学的計測長!D16*100/人類学的計測長!D9,NA())</f>
        <v>#N/A</v>
      </c>
      <c r="G26" s="60"/>
      <c r="I26" s="1" t="b">
        <v>1</v>
      </c>
    </row>
    <row r="27" spans="1:9" x14ac:dyDescent="0.15">
      <c r="C27"/>
    </row>
    <row r="28" spans="1:9" ht="15" customHeight="1" x14ac:dyDescent="0.15">
      <c r="B28" s="2"/>
      <c r="C28"/>
      <c r="D28" s="58" t="s">
        <v>171</v>
      </c>
      <c r="E28" s="28">
        <f>19-SUMPRODUCT(ISERROR(F8:F26)*1)</f>
        <v>0</v>
      </c>
    </row>
    <row r="29" spans="1:9" ht="15" customHeight="1" x14ac:dyDescent="0.15">
      <c r="B29" s="2">
        <v>1</v>
      </c>
      <c r="C29" s="28">
        <v>-0.14942436961676719</v>
      </c>
      <c r="D29" s="58" t="s">
        <v>172</v>
      </c>
      <c r="E29" s="28">
        <f>IF(E28&lt;3,0,E28-2)</f>
        <v>0</v>
      </c>
    </row>
    <row r="30" spans="1:9" ht="15" customHeight="1" x14ac:dyDescent="0.15">
      <c r="B30" s="2">
        <v>2</v>
      </c>
      <c r="C30" s="61">
        <v>0.59828895591307685</v>
      </c>
      <c r="D30" s="58" t="s">
        <v>135</v>
      </c>
      <c r="E30" s="28">
        <v>8.6143445764959825</v>
      </c>
    </row>
    <row r="31" spans="1:9" ht="15" customHeight="1" x14ac:dyDescent="0.15">
      <c r="B31" s="2">
        <v>3</v>
      </c>
      <c r="C31" s="61">
        <v>0.73000608923636889</v>
      </c>
      <c r="D31" s="58" t="s">
        <v>138</v>
      </c>
      <c r="E31" s="28" t="e">
        <f>CHIDIST(E30,E28)</f>
        <v>#NUM!</v>
      </c>
    </row>
    <row r="32" spans="1:9" ht="15" customHeight="1" x14ac:dyDescent="0.15">
      <c r="B32" s="2">
        <v>4</v>
      </c>
      <c r="C32" s="61">
        <v>-2.458780109621717</v>
      </c>
      <c r="D32" s="58" t="s">
        <v>162</v>
      </c>
      <c r="E32" s="28">
        <f>IF(E29/E30&gt;1,1,E29/E30)</f>
        <v>0</v>
      </c>
    </row>
    <row r="33" spans="2:5" ht="15" customHeight="1" x14ac:dyDescent="0.15">
      <c r="B33" s="2">
        <v>5</v>
      </c>
      <c r="C33" s="61">
        <v>-1.7040719675865219</v>
      </c>
      <c r="E33" s="1" t="s">
        <v>139</v>
      </c>
    </row>
    <row r="34" spans="2:5" ht="15" customHeight="1" x14ac:dyDescent="0.15">
      <c r="B34" s="2">
        <v>6</v>
      </c>
      <c r="C34" s="61">
        <v>-0.25067552736850729</v>
      </c>
    </row>
    <row r="35" spans="2:5" ht="15" customHeight="1" x14ac:dyDescent="0.15">
      <c r="B35" s="24">
        <v>7</v>
      </c>
      <c r="C35" s="61">
        <v>-7.6254666699349229</v>
      </c>
    </row>
    <row r="36" spans="2:5" ht="15" customHeight="1" x14ac:dyDescent="0.15">
      <c r="B36" s="2">
        <v>8</v>
      </c>
      <c r="C36" s="61">
        <v>0.20575709192597103</v>
      </c>
    </row>
    <row r="37" spans="2:5" ht="15" customHeight="1" x14ac:dyDescent="0.15">
      <c r="B37" s="2">
        <v>9</v>
      </c>
      <c r="C37" s="61">
        <v>-0.18719086290950315</v>
      </c>
    </row>
    <row r="38" spans="2:5" ht="15" customHeight="1" x14ac:dyDescent="0.15">
      <c r="B38" s="2">
        <v>12</v>
      </c>
      <c r="C38" s="61">
        <v>-0.75202719094018278</v>
      </c>
    </row>
    <row r="39" spans="2:5" ht="15" customHeight="1" x14ac:dyDescent="0.15">
      <c r="B39" s="2">
        <v>13</v>
      </c>
      <c r="C39" s="61">
        <v>-11.161508625593456</v>
      </c>
    </row>
    <row r="40" spans="2:5" ht="15" customHeight="1" x14ac:dyDescent="0.15">
      <c r="B40" s="2">
        <v>14</v>
      </c>
      <c r="C40" s="61">
        <v>4.208490213820923</v>
      </c>
    </row>
    <row r="41" spans="2:5" ht="15" customHeight="1" x14ac:dyDescent="0.15">
      <c r="B41" s="2">
        <v>15</v>
      </c>
      <c r="C41" s="61">
        <v>-5.3735016091805647</v>
      </c>
    </row>
    <row r="42" spans="2:5" ht="15" customHeight="1" x14ac:dyDescent="0.15">
      <c r="B42" s="2">
        <v>16</v>
      </c>
      <c r="C42" s="61">
        <v>0.38447399171417374</v>
      </c>
    </row>
    <row r="43" spans="2:5" ht="15" customHeight="1" x14ac:dyDescent="0.15">
      <c r="B43" s="2">
        <v>17</v>
      </c>
      <c r="C43" s="61">
        <v>-0.62176429117876353</v>
      </c>
    </row>
    <row r="44" spans="2:5" ht="15" customHeight="1" x14ac:dyDescent="0.15">
      <c r="B44" s="2">
        <v>18</v>
      </c>
      <c r="C44" s="61">
        <v>0.29015402876416374</v>
      </c>
    </row>
    <row r="45" spans="2:5" ht="15" customHeight="1" x14ac:dyDescent="0.15">
      <c r="B45" s="2">
        <v>19</v>
      </c>
      <c r="C45" s="61">
        <v>0.87645276796696692</v>
      </c>
    </row>
    <row r="46" spans="2:5" ht="15" customHeight="1" x14ac:dyDescent="0.15">
      <c r="B46" s="2">
        <v>20</v>
      </c>
      <c r="C46" s="61">
        <v>-0.83409955922395795</v>
      </c>
    </row>
    <row r="47" spans="2:5" ht="15" customHeight="1" x14ac:dyDescent="0.15">
      <c r="B47" s="2">
        <v>21</v>
      </c>
      <c r="C47" s="61">
        <v>-1.3484142028243014</v>
      </c>
    </row>
  </sheetData>
  <mergeCells count="2">
    <mergeCell ref="C5:E6"/>
    <mergeCell ref="F5:F7"/>
  </mergeCells>
  <phoneticPr fontId="1"/>
  <pageMargins left="0.70866141732283472" right="0.70866141732283472" top="0.74803149606299213" bottom="0.74803149606299213" header="0.31496062992125984" footer="0.31496062992125984"/>
  <pageSetup paperSize="9" scale="85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6</xdr:row>
                    <xdr:rowOff>171450</xdr:rowOff>
                  </from>
                  <to>
                    <xdr:col>6</xdr:col>
                    <xdr:colOff>542925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Check Box 22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Check Box 23">
              <controlPr defaultSize="0" autoFill="0" autoLine="0" autoPict="0">
                <anchor moveWithCells="1">
                  <from>
                    <xdr:col>6</xdr:col>
                    <xdr:colOff>238125</xdr:colOff>
                    <xdr:row>8</xdr:row>
                    <xdr:rowOff>171450</xdr:rowOff>
                  </from>
                  <to>
                    <xdr:col>6</xdr:col>
                    <xdr:colOff>542925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Check Box 24">
              <controlPr defaultSize="0" autoFill="0" autoLine="0" autoPict="0">
                <anchor moveWithCells="1">
                  <from>
                    <xdr:col>6</xdr:col>
                    <xdr:colOff>238125</xdr:colOff>
                    <xdr:row>9</xdr:row>
                    <xdr:rowOff>171450</xdr:rowOff>
                  </from>
                  <to>
                    <xdr:col>6</xdr:col>
                    <xdr:colOff>542925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Check Box 25">
              <controlPr defaultSize="0" autoFill="0" autoLine="0" autoPict="0">
                <anchor moveWithCells="1">
                  <from>
                    <xdr:col>6</xdr:col>
                    <xdr:colOff>238125</xdr:colOff>
                    <xdr:row>10</xdr:row>
                    <xdr:rowOff>171450</xdr:rowOff>
                  </from>
                  <to>
                    <xdr:col>6</xdr:col>
                    <xdr:colOff>542925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Check Box 26">
              <controlPr defaultSize="0" autoFill="0" autoLine="0" autoPict="0">
                <anchor moveWithCells="1">
                  <from>
                    <xdr:col>6</xdr:col>
                    <xdr:colOff>238125</xdr:colOff>
                    <xdr:row>11</xdr:row>
                    <xdr:rowOff>171450</xdr:rowOff>
                  </from>
                  <to>
                    <xdr:col>6</xdr:col>
                    <xdr:colOff>542925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Check Box 27">
              <controlPr defaultSize="0" autoFill="0" autoLine="0" autoPict="0">
                <anchor moveWithCells="1">
                  <from>
                    <xdr:col>6</xdr:col>
                    <xdr:colOff>238125</xdr:colOff>
                    <xdr:row>12</xdr:row>
                    <xdr:rowOff>171450</xdr:rowOff>
                  </from>
                  <to>
                    <xdr:col>6</xdr:col>
                    <xdr:colOff>542925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1" name="Check Box 28">
              <controlPr defaultSize="0" autoFill="0" autoLine="0" autoPict="0">
                <anchor moveWithCells="1">
                  <from>
                    <xdr:col>6</xdr:col>
                    <xdr:colOff>238125</xdr:colOff>
                    <xdr:row>13</xdr:row>
                    <xdr:rowOff>171450</xdr:rowOff>
                  </from>
                  <to>
                    <xdr:col>6</xdr:col>
                    <xdr:colOff>542925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2" name="Check Box 29">
              <controlPr defaultSize="0" autoFill="0" autoLine="0" autoPict="0">
                <anchor moveWithCells="1">
                  <from>
                    <xdr:col>6</xdr:col>
                    <xdr:colOff>238125</xdr:colOff>
                    <xdr:row>14</xdr:row>
                    <xdr:rowOff>171450</xdr:rowOff>
                  </from>
                  <to>
                    <xdr:col>6</xdr:col>
                    <xdr:colOff>542925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3" name="Check Box 30">
              <controlPr defaultSize="0" autoFill="0" autoLine="0" autoPict="0">
                <anchor moveWithCells="1">
                  <from>
                    <xdr:col>6</xdr:col>
                    <xdr:colOff>238125</xdr:colOff>
                    <xdr:row>15</xdr:row>
                    <xdr:rowOff>171450</xdr:rowOff>
                  </from>
                  <to>
                    <xdr:col>6</xdr:col>
                    <xdr:colOff>542925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4" name="Check Box 31">
              <controlPr defaultSize="0" autoFill="0" autoLine="0" autoPict="0">
                <anchor moveWithCells="1">
                  <from>
                    <xdr:col>6</xdr:col>
                    <xdr:colOff>238125</xdr:colOff>
                    <xdr:row>16</xdr:row>
                    <xdr:rowOff>171450</xdr:rowOff>
                  </from>
                  <to>
                    <xdr:col>6</xdr:col>
                    <xdr:colOff>542925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5" name="Check Box 32">
              <controlPr defaultSize="0" autoFill="0" autoLine="0" autoPict="0">
                <anchor moveWithCells="1">
                  <from>
                    <xdr:col>6</xdr:col>
                    <xdr:colOff>238125</xdr:colOff>
                    <xdr:row>17</xdr:row>
                    <xdr:rowOff>171450</xdr:rowOff>
                  </from>
                  <to>
                    <xdr:col>6</xdr:col>
                    <xdr:colOff>542925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6" name="Check Box 33">
              <controlPr defaultSize="0" autoFill="0" autoLine="0" autoPict="0">
                <anchor moveWithCells="1">
                  <from>
                    <xdr:col>6</xdr:col>
                    <xdr:colOff>238125</xdr:colOff>
                    <xdr:row>18</xdr:row>
                    <xdr:rowOff>171450</xdr:rowOff>
                  </from>
                  <to>
                    <xdr:col>6</xdr:col>
                    <xdr:colOff>542925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7" name="Check Box 34">
              <controlPr defaultSize="0" autoFill="0" autoLine="0" autoPict="0">
                <anchor moveWithCells="1">
                  <from>
                    <xdr:col>6</xdr:col>
                    <xdr:colOff>238125</xdr:colOff>
                    <xdr:row>19</xdr:row>
                    <xdr:rowOff>171450</xdr:rowOff>
                  </from>
                  <to>
                    <xdr:col>6</xdr:col>
                    <xdr:colOff>542925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8" name="Check Box 35">
              <controlPr defaultSize="0" autoFill="0" autoLine="0" autoPict="0">
                <anchor moveWithCells="1">
                  <from>
                    <xdr:col>6</xdr:col>
                    <xdr:colOff>238125</xdr:colOff>
                    <xdr:row>20</xdr:row>
                    <xdr:rowOff>171450</xdr:rowOff>
                  </from>
                  <to>
                    <xdr:col>6</xdr:col>
                    <xdr:colOff>542925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9" name="Check Box 36">
              <controlPr defaultSize="0" autoFill="0" autoLine="0" autoPict="0">
                <anchor moveWithCells="1">
                  <from>
                    <xdr:col>6</xdr:col>
                    <xdr:colOff>238125</xdr:colOff>
                    <xdr:row>21</xdr:row>
                    <xdr:rowOff>171450</xdr:rowOff>
                  </from>
                  <to>
                    <xdr:col>6</xdr:col>
                    <xdr:colOff>542925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0" name="Check Box 37">
              <controlPr defaultSize="0" autoFill="0" autoLine="0" autoPict="0">
                <anchor moveWithCells="1">
                  <from>
                    <xdr:col>6</xdr:col>
                    <xdr:colOff>238125</xdr:colOff>
                    <xdr:row>22</xdr:row>
                    <xdr:rowOff>171450</xdr:rowOff>
                  </from>
                  <to>
                    <xdr:col>6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1" name="Check Box 38">
              <controlPr defaultSize="0" autoFill="0" autoLine="0" autoPict="0">
                <anchor moveWithCells="1">
                  <from>
                    <xdr:col>6</xdr:col>
                    <xdr:colOff>238125</xdr:colOff>
                    <xdr:row>23</xdr:row>
                    <xdr:rowOff>171450</xdr:rowOff>
                  </from>
                  <to>
                    <xdr:col>6</xdr:col>
                    <xdr:colOff>542925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2" name="Check Box 39">
              <controlPr defaultSize="0" autoFill="0" autoLine="0" autoPict="0">
                <anchor moveWithCells="1">
                  <from>
                    <xdr:col>6</xdr:col>
                    <xdr:colOff>238125</xdr:colOff>
                    <xdr:row>24</xdr:row>
                    <xdr:rowOff>171450</xdr:rowOff>
                  </from>
                  <to>
                    <xdr:col>6</xdr:col>
                    <xdr:colOff>542925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3" name="Check Box 40">
              <controlPr defaultSize="0" autoFill="0" autoLine="0" autoPict="0">
                <anchor moveWithCells="1">
                  <from>
                    <xdr:col>6</xdr:col>
                    <xdr:colOff>238125</xdr:colOff>
                    <xdr:row>8</xdr:row>
                    <xdr:rowOff>171450</xdr:rowOff>
                  </from>
                  <to>
                    <xdr:col>6</xdr:col>
                    <xdr:colOff>542925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4" name="Check Box 41">
              <controlPr defaultSize="0" autoFill="0" autoLine="0" autoPict="0">
                <anchor moveWithCells="1">
                  <from>
                    <xdr:col>6</xdr:col>
                    <xdr:colOff>238125</xdr:colOff>
                    <xdr:row>9</xdr:row>
                    <xdr:rowOff>171450</xdr:rowOff>
                  </from>
                  <to>
                    <xdr:col>6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5" name="Check Box 42">
              <controlPr defaultSize="0" autoFill="0" autoLine="0" autoPict="0">
                <anchor moveWithCells="1">
                  <from>
                    <xdr:col>6</xdr:col>
                    <xdr:colOff>238125</xdr:colOff>
                    <xdr:row>10</xdr:row>
                    <xdr:rowOff>171450</xdr:rowOff>
                  </from>
                  <to>
                    <xdr:col>6</xdr:col>
                    <xdr:colOff>542925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6" name="Check Box 43">
              <controlPr defaultSize="0" autoFill="0" autoLine="0" autoPict="0">
                <anchor moveWithCells="1">
                  <from>
                    <xdr:col>6</xdr:col>
                    <xdr:colOff>238125</xdr:colOff>
                    <xdr:row>11</xdr:row>
                    <xdr:rowOff>171450</xdr:rowOff>
                  </from>
                  <to>
                    <xdr:col>6</xdr:col>
                    <xdr:colOff>542925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7" name="Check Box 44">
              <controlPr defaultSize="0" autoFill="0" autoLine="0" autoPict="0">
                <anchor moveWithCells="1">
                  <from>
                    <xdr:col>6</xdr:col>
                    <xdr:colOff>238125</xdr:colOff>
                    <xdr:row>12</xdr:row>
                    <xdr:rowOff>171450</xdr:rowOff>
                  </from>
                  <to>
                    <xdr:col>6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8" name="Check Box 45">
              <controlPr defaultSize="0" autoFill="0" autoLine="0" autoPict="0">
                <anchor moveWithCells="1">
                  <from>
                    <xdr:col>6</xdr:col>
                    <xdr:colOff>238125</xdr:colOff>
                    <xdr:row>13</xdr:row>
                    <xdr:rowOff>171450</xdr:rowOff>
                  </from>
                  <to>
                    <xdr:col>6</xdr:col>
                    <xdr:colOff>542925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9" name="Check Box 46">
              <controlPr defaultSize="0" autoFill="0" autoLine="0" autoPict="0">
                <anchor moveWithCells="1">
                  <from>
                    <xdr:col>6</xdr:col>
                    <xdr:colOff>238125</xdr:colOff>
                    <xdr:row>14</xdr:row>
                    <xdr:rowOff>171450</xdr:rowOff>
                  </from>
                  <to>
                    <xdr:col>6</xdr:col>
                    <xdr:colOff>542925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0" name="Check Box 47">
              <controlPr defaultSize="0" autoFill="0" autoLine="0" autoPict="0">
                <anchor moveWithCells="1">
                  <from>
                    <xdr:col>6</xdr:col>
                    <xdr:colOff>238125</xdr:colOff>
                    <xdr:row>15</xdr:row>
                    <xdr:rowOff>171450</xdr:rowOff>
                  </from>
                  <to>
                    <xdr:col>6</xdr:col>
                    <xdr:colOff>542925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1" name="Check Box 48">
              <controlPr defaultSize="0" autoFill="0" autoLine="0" autoPict="0">
                <anchor moveWithCells="1">
                  <from>
                    <xdr:col>6</xdr:col>
                    <xdr:colOff>238125</xdr:colOff>
                    <xdr:row>16</xdr:row>
                    <xdr:rowOff>171450</xdr:rowOff>
                  </from>
                  <to>
                    <xdr:col>6</xdr:col>
                    <xdr:colOff>542925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2" name="Check Box 49">
              <controlPr defaultSize="0" autoFill="0" autoLine="0" autoPict="0">
                <anchor moveWithCells="1">
                  <from>
                    <xdr:col>6</xdr:col>
                    <xdr:colOff>238125</xdr:colOff>
                    <xdr:row>17</xdr:row>
                    <xdr:rowOff>171450</xdr:rowOff>
                  </from>
                  <to>
                    <xdr:col>6</xdr:col>
                    <xdr:colOff>542925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3" name="Check Box 50">
              <controlPr defaultSize="0" autoFill="0" autoLine="0" autoPict="0">
                <anchor moveWithCells="1">
                  <from>
                    <xdr:col>6</xdr:col>
                    <xdr:colOff>238125</xdr:colOff>
                    <xdr:row>18</xdr:row>
                    <xdr:rowOff>171450</xdr:rowOff>
                  </from>
                  <to>
                    <xdr:col>6</xdr:col>
                    <xdr:colOff>542925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4" name="Check Box 51">
              <controlPr defaultSize="0" autoFill="0" autoLine="0" autoPict="0">
                <anchor moveWithCells="1">
                  <from>
                    <xdr:col>6</xdr:col>
                    <xdr:colOff>238125</xdr:colOff>
                    <xdr:row>19</xdr:row>
                    <xdr:rowOff>171450</xdr:rowOff>
                  </from>
                  <to>
                    <xdr:col>6</xdr:col>
                    <xdr:colOff>542925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5" name="Check Box 52">
              <controlPr defaultSize="0" autoFill="0" autoLine="0" autoPict="0">
                <anchor moveWithCells="1">
                  <from>
                    <xdr:col>6</xdr:col>
                    <xdr:colOff>238125</xdr:colOff>
                    <xdr:row>20</xdr:row>
                    <xdr:rowOff>171450</xdr:rowOff>
                  </from>
                  <to>
                    <xdr:col>6</xdr:col>
                    <xdr:colOff>542925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6" name="Check Box 53">
              <controlPr defaultSize="0" autoFill="0" autoLine="0" autoPict="0">
                <anchor moveWithCells="1">
                  <from>
                    <xdr:col>6</xdr:col>
                    <xdr:colOff>238125</xdr:colOff>
                    <xdr:row>21</xdr:row>
                    <xdr:rowOff>171450</xdr:rowOff>
                  </from>
                  <to>
                    <xdr:col>6</xdr:col>
                    <xdr:colOff>542925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7" name="Check Box 54">
              <controlPr defaultSize="0" autoFill="0" autoLine="0" autoPict="0">
                <anchor moveWithCells="1">
                  <from>
                    <xdr:col>6</xdr:col>
                    <xdr:colOff>238125</xdr:colOff>
                    <xdr:row>22</xdr:row>
                    <xdr:rowOff>171450</xdr:rowOff>
                  </from>
                  <to>
                    <xdr:col>6</xdr:col>
                    <xdr:colOff>542925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8" name="Check Box 55">
              <controlPr defaultSize="0" autoFill="0" autoLine="0" autoPict="0">
                <anchor moveWithCells="1">
                  <from>
                    <xdr:col>6</xdr:col>
                    <xdr:colOff>238125</xdr:colOff>
                    <xdr:row>23</xdr:row>
                    <xdr:rowOff>171450</xdr:rowOff>
                  </from>
                  <to>
                    <xdr:col>6</xdr:col>
                    <xdr:colOff>542925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9" name="Check Box 56">
              <controlPr defaultSize="0" autoFill="0" autoLine="0" autoPict="0">
                <anchor moveWithCells="1">
                  <from>
                    <xdr:col>6</xdr:col>
                    <xdr:colOff>238125</xdr:colOff>
                    <xdr:row>24</xdr:row>
                    <xdr:rowOff>171450</xdr:rowOff>
                  </from>
                  <to>
                    <xdr:col>6</xdr:col>
                    <xdr:colOff>542925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0" name="Check Box 57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8</xdr:row>
                    <xdr:rowOff>171450</xdr:rowOff>
                  </from>
                  <to>
                    <xdr:col>6</xdr:col>
                    <xdr:colOff>542925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1" name="Check Box 58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9</xdr:row>
                    <xdr:rowOff>171450</xdr:rowOff>
                  </from>
                  <to>
                    <xdr:col>6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2" name="Check Box 59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10</xdr:row>
                    <xdr:rowOff>171450</xdr:rowOff>
                  </from>
                  <to>
                    <xdr:col>6</xdr:col>
                    <xdr:colOff>542925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3" name="Check Box 60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11</xdr:row>
                    <xdr:rowOff>171450</xdr:rowOff>
                  </from>
                  <to>
                    <xdr:col>6</xdr:col>
                    <xdr:colOff>542925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4" name="Check Box 61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12</xdr:row>
                    <xdr:rowOff>171450</xdr:rowOff>
                  </from>
                  <to>
                    <xdr:col>6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5" name="Check Box 62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13</xdr:row>
                    <xdr:rowOff>171450</xdr:rowOff>
                  </from>
                  <to>
                    <xdr:col>6</xdr:col>
                    <xdr:colOff>542925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6" name="Check Box 63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14</xdr:row>
                    <xdr:rowOff>171450</xdr:rowOff>
                  </from>
                  <to>
                    <xdr:col>6</xdr:col>
                    <xdr:colOff>542925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7" name="Check Box 64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15</xdr:row>
                    <xdr:rowOff>171450</xdr:rowOff>
                  </from>
                  <to>
                    <xdr:col>6</xdr:col>
                    <xdr:colOff>542925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8" name="Check Box 65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16</xdr:row>
                    <xdr:rowOff>171450</xdr:rowOff>
                  </from>
                  <to>
                    <xdr:col>6</xdr:col>
                    <xdr:colOff>542925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9" name="Check Box 66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17</xdr:row>
                    <xdr:rowOff>171450</xdr:rowOff>
                  </from>
                  <to>
                    <xdr:col>6</xdr:col>
                    <xdr:colOff>542925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0" name="Check Box 67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18</xdr:row>
                    <xdr:rowOff>171450</xdr:rowOff>
                  </from>
                  <to>
                    <xdr:col>6</xdr:col>
                    <xdr:colOff>542925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1" name="Check Box 68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19</xdr:row>
                    <xdr:rowOff>171450</xdr:rowOff>
                  </from>
                  <to>
                    <xdr:col>6</xdr:col>
                    <xdr:colOff>542925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2" name="Check Box 69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20</xdr:row>
                    <xdr:rowOff>171450</xdr:rowOff>
                  </from>
                  <to>
                    <xdr:col>6</xdr:col>
                    <xdr:colOff>542925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3" name="Check Box 70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21</xdr:row>
                    <xdr:rowOff>171450</xdr:rowOff>
                  </from>
                  <to>
                    <xdr:col>6</xdr:col>
                    <xdr:colOff>542925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4" name="Check Box 71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22</xdr:row>
                    <xdr:rowOff>171450</xdr:rowOff>
                  </from>
                  <to>
                    <xdr:col>6</xdr:col>
                    <xdr:colOff>542925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5" name="Check Box 72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23</xdr:row>
                    <xdr:rowOff>171450</xdr:rowOff>
                  </from>
                  <to>
                    <xdr:col>6</xdr:col>
                    <xdr:colOff>542925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6" name="Check Box 73">
              <controlPr defaultSize="0" autoFill="0" autoLine="0" autoPict="0" macro="[0]!calcD2">
                <anchor moveWithCells="1">
                  <from>
                    <xdr:col>6</xdr:col>
                    <xdr:colOff>238125</xdr:colOff>
                    <xdr:row>24</xdr:row>
                    <xdr:rowOff>171450</xdr:rowOff>
                  </from>
                  <to>
                    <xdr:col>6</xdr:col>
                    <xdr:colOff>542925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7" name="Button 74">
              <controlPr defaultSize="0" print="0" autoFill="0" autoPict="0" macro="[0]!calcD2">
                <anchor moveWithCells="1">
                  <from>
                    <xdr:col>4</xdr:col>
                    <xdr:colOff>428625</xdr:colOff>
                    <xdr:row>33</xdr:row>
                    <xdr:rowOff>180975</xdr:rowOff>
                  </from>
                  <to>
                    <xdr:col>4</xdr:col>
                    <xdr:colOff>1514475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workbookViewId="0">
      <selection activeCell="B6" sqref="B6"/>
    </sheetView>
  </sheetViews>
  <sheetFormatPr defaultRowHeight="13.5" x14ac:dyDescent="0.15"/>
  <sheetData>
    <row r="1" spans="1:4" x14ac:dyDescent="0.15">
      <c r="A1" t="s">
        <v>133</v>
      </c>
      <c r="B1" t="s">
        <v>136</v>
      </c>
      <c r="C1" t="s">
        <v>134</v>
      </c>
      <c r="D1" t="s">
        <v>136</v>
      </c>
    </row>
    <row r="2" spans="1:4" x14ac:dyDescent="0.15">
      <c r="A2" s="57">
        <v>1</v>
      </c>
      <c r="B2" s="57">
        <v>82.29</v>
      </c>
      <c r="C2" s="57">
        <v>1</v>
      </c>
      <c r="D2" s="57">
        <v>78.73</v>
      </c>
    </row>
    <row r="3" spans="1:4" x14ac:dyDescent="0.15">
      <c r="A3" s="57">
        <v>2</v>
      </c>
      <c r="B3" s="57">
        <v>51.18</v>
      </c>
      <c r="C3" s="57">
        <v>2</v>
      </c>
      <c r="D3" s="57">
        <v>51.6</v>
      </c>
    </row>
    <row r="4" spans="1:4" x14ac:dyDescent="0.15">
      <c r="A4" s="57">
        <v>3</v>
      </c>
      <c r="B4" s="57">
        <v>75.27</v>
      </c>
      <c r="C4" s="57">
        <v>3</v>
      </c>
      <c r="D4" s="57">
        <v>69.36</v>
      </c>
    </row>
    <row r="5" spans="1:4" x14ac:dyDescent="0.15">
      <c r="A5" s="57">
        <v>4</v>
      </c>
      <c r="B5" s="57">
        <v>32.43</v>
      </c>
      <c r="C5" s="57">
        <v>4</v>
      </c>
      <c r="D5" s="57">
        <v>33.119999999999997</v>
      </c>
    </row>
    <row r="6" spans="1:4" x14ac:dyDescent="0.15">
      <c r="A6" s="57">
        <v>5</v>
      </c>
      <c r="B6" s="57">
        <v>24.43</v>
      </c>
      <c r="C6" s="57">
        <v>5</v>
      </c>
      <c r="D6" s="57">
        <v>24.5</v>
      </c>
    </row>
    <row r="7" spans="1:4" x14ac:dyDescent="0.15">
      <c r="A7" s="57">
        <v>6</v>
      </c>
      <c r="B7" s="57">
        <v>44.76</v>
      </c>
      <c r="C7" s="57">
        <v>6</v>
      </c>
      <c r="D7" s="57">
        <v>47.74</v>
      </c>
    </row>
    <row r="8" spans="1:4" x14ac:dyDescent="0.15">
      <c r="A8" s="57">
        <v>7</v>
      </c>
      <c r="B8" s="57">
        <v>88.94</v>
      </c>
      <c r="C8" s="57">
        <v>7</v>
      </c>
      <c r="D8" s="57">
        <v>94.78</v>
      </c>
    </row>
    <row r="9" spans="1:4" x14ac:dyDescent="0.15">
      <c r="A9" s="57">
        <v>8</v>
      </c>
      <c r="B9" s="57">
        <v>27.57</v>
      </c>
      <c r="C9" s="57">
        <v>8</v>
      </c>
      <c r="D9" s="57">
        <v>25.95</v>
      </c>
    </row>
    <row r="10" spans="1:4" x14ac:dyDescent="0.15">
      <c r="A10" s="57">
        <v>9</v>
      </c>
      <c r="B10" s="57">
        <v>35.71</v>
      </c>
      <c r="C10" s="57">
        <v>9</v>
      </c>
      <c r="D10" s="57">
        <v>35.119999999999997</v>
      </c>
    </row>
    <row r="11" spans="1:4" x14ac:dyDescent="0.15">
      <c r="A11" s="57">
        <v>12</v>
      </c>
      <c r="B11" s="57">
        <v>89.48</v>
      </c>
      <c r="C11" s="57">
        <v>12</v>
      </c>
      <c r="D11" s="57">
        <v>83.39</v>
      </c>
    </row>
    <row r="12" spans="1:4" x14ac:dyDescent="0.15">
      <c r="A12" s="57">
        <v>13</v>
      </c>
      <c r="B12" s="57">
        <v>84.15</v>
      </c>
      <c r="C12" s="57">
        <v>13</v>
      </c>
      <c r="D12" s="57">
        <v>74.94</v>
      </c>
    </row>
    <row r="13" spans="1:4" x14ac:dyDescent="0.15">
      <c r="A13" s="57">
        <v>14</v>
      </c>
      <c r="B13" s="57">
        <v>46.73</v>
      </c>
      <c r="C13" s="57">
        <v>14</v>
      </c>
      <c r="D13" s="57">
        <v>52.2</v>
      </c>
    </row>
    <row r="14" spans="1:4" x14ac:dyDescent="0.15">
      <c r="A14" s="57">
        <v>15</v>
      </c>
      <c r="B14" s="57">
        <v>69.36</v>
      </c>
      <c r="C14" s="57">
        <v>15</v>
      </c>
      <c r="D14" s="57">
        <v>70.63</v>
      </c>
    </row>
    <row r="15" spans="1:4" x14ac:dyDescent="0.15">
      <c r="A15" s="57">
        <v>16</v>
      </c>
      <c r="B15" s="57">
        <v>77.98</v>
      </c>
      <c r="C15" s="57">
        <v>16</v>
      </c>
      <c r="D15" s="57">
        <v>74.489999999999995</v>
      </c>
    </row>
    <row r="16" spans="1:4" x14ac:dyDescent="0.15">
      <c r="A16" s="57">
        <v>17</v>
      </c>
      <c r="B16" s="57">
        <v>34.85</v>
      </c>
      <c r="C16" s="57">
        <v>17</v>
      </c>
      <c r="D16" s="57">
        <v>32.549999999999997</v>
      </c>
    </row>
    <row r="17" spans="1:4" x14ac:dyDescent="0.15">
      <c r="A17" s="57">
        <v>18</v>
      </c>
      <c r="B17" s="57">
        <v>92.45</v>
      </c>
      <c r="C17" s="57">
        <v>18</v>
      </c>
      <c r="D17" s="57">
        <v>94.8</v>
      </c>
    </row>
    <row r="18" spans="1:4" x14ac:dyDescent="0.15">
      <c r="A18" s="57">
        <v>19</v>
      </c>
      <c r="B18" s="57">
        <v>62.15</v>
      </c>
      <c r="C18" s="57">
        <v>19</v>
      </c>
      <c r="D18" s="57">
        <v>65.55</v>
      </c>
    </row>
    <row r="19" spans="1:4" x14ac:dyDescent="0.15">
      <c r="A19" s="57">
        <v>20</v>
      </c>
      <c r="B19" s="57">
        <v>39.82</v>
      </c>
      <c r="C19" s="57">
        <v>20</v>
      </c>
      <c r="D19" s="57">
        <v>36.49</v>
      </c>
    </row>
    <row r="20" spans="1:4" x14ac:dyDescent="0.15">
      <c r="A20" s="57">
        <v>21</v>
      </c>
      <c r="B20" s="57">
        <v>72.08</v>
      </c>
      <c r="C20" s="57">
        <v>21</v>
      </c>
      <c r="D20" s="57">
        <v>72.84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3"/>
  <sheetViews>
    <sheetView workbookViewId="0">
      <selection activeCell="D5" sqref="D5"/>
    </sheetView>
  </sheetViews>
  <sheetFormatPr defaultRowHeight="13.5" x14ac:dyDescent="0.15"/>
  <sheetData>
    <row r="1" spans="1:20" x14ac:dyDescent="0.15">
      <c r="A1" t="s">
        <v>137</v>
      </c>
    </row>
    <row r="2" spans="1:20" x14ac:dyDescent="0.15">
      <c r="A2" t="s">
        <v>133</v>
      </c>
      <c r="B2" t="s">
        <v>140</v>
      </c>
      <c r="C2" t="s">
        <v>141</v>
      </c>
      <c r="D2" t="s">
        <v>142</v>
      </c>
      <c r="E2" t="s">
        <v>143</v>
      </c>
      <c r="F2" t="s">
        <v>144</v>
      </c>
      <c r="G2" t="s">
        <v>145</v>
      </c>
      <c r="H2" t="s">
        <v>146</v>
      </c>
      <c r="I2" t="s">
        <v>147</v>
      </c>
      <c r="J2" t="s">
        <v>148</v>
      </c>
      <c r="K2" t="s">
        <v>149</v>
      </c>
      <c r="L2" t="s">
        <v>150</v>
      </c>
      <c r="M2" t="s">
        <v>151</v>
      </c>
      <c r="N2" t="s">
        <v>152</v>
      </c>
      <c r="O2" t="s">
        <v>153</v>
      </c>
      <c r="P2" t="s">
        <v>154</v>
      </c>
      <c r="Q2" t="s">
        <v>155</v>
      </c>
      <c r="R2" t="s">
        <v>156</v>
      </c>
      <c r="S2" t="s">
        <v>157</v>
      </c>
      <c r="T2" t="s">
        <v>158</v>
      </c>
    </row>
    <row r="3" spans="1:20" x14ac:dyDescent="0.15">
      <c r="A3" t="s">
        <v>140</v>
      </c>
      <c r="B3">
        <v>36.120504422314497</v>
      </c>
      <c r="C3">
        <v>25.953482890121599</v>
      </c>
      <c r="D3">
        <v>-22.4940273024921</v>
      </c>
      <c r="E3">
        <v>11.243585459527001</v>
      </c>
      <c r="F3">
        <v>4.4401225723917097</v>
      </c>
      <c r="G3">
        <v>-0.99388469301174498</v>
      </c>
      <c r="H3">
        <v>4.9447453579021703</v>
      </c>
      <c r="I3">
        <v>3.58358258147046</v>
      </c>
      <c r="J3">
        <v>1.44668284549361</v>
      </c>
      <c r="K3">
        <v>-10.0800827538484</v>
      </c>
      <c r="L3">
        <v>45.989777455455801</v>
      </c>
      <c r="M3">
        <v>21.286912714044998</v>
      </c>
      <c r="N3">
        <v>8.8528480867274908</v>
      </c>
      <c r="O3">
        <v>6.28742065248563</v>
      </c>
      <c r="P3">
        <v>14.631740767108999</v>
      </c>
      <c r="Q3">
        <v>48.783726647980103</v>
      </c>
      <c r="R3">
        <v>4.2458764132443099</v>
      </c>
      <c r="S3">
        <v>2.9201376205230098</v>
      </c>
      <c r="T3">
        <v>-6.1410942157547002</v>
      </c>
    </row>
    <row r="4" spans="1:20" x14ac:dyDescent="0.15">
      <c r="A4" t="s">
        <v>141</v>
      </c>
      <c r="B4">
        <v>25.953482890121599</v>
      </c>
      <c r="C4">
        <v>26.3168095938031</v>
      </c>
      <c r="D4">
        <v>-22.816791730444699</v>
      </c>
      <c r="E4">
        <v>11.4644796421431</v>
      </c>
      <c r="F4">
        <v>4.5553278035341398</v>
      </c>
      <c r="G4">
        <v>4.1595894655396801</v>
      </c>
      <c r="H4">
        <v>6.8412048215788097</v>
      </c>
      <c r="I4">
        <v>3.0207297251071199</v>
      </c>
      <c r="J4">
        <v>0.16111429158036</v>
      </c>
      <c r="K4">
        <v>-14.420433878416899</v>
      </c>
      <c r="L4">
        <v>40.315895670909903</v>
      </c>
      <c r="M4">
        <v>38.797608035587999</v>
      </c>
      <c r="N4">
        <v>10.680492799430301</v>
      </c>
      <c r="O4">
        <v>6.6205050440802697</v>
      </c>
      <c r="P4">
        <v>4.5791325137528602</v>
      </c>
      <c r="Q4">
        <v>42.573715126641297</v>
      </c>
      <c r="R4">
        <v>12.1510828228636</v>
      </c>
      <c r="S4">
        <v>1.6137981008669999</v>
      </c>
      <c r="T4">
        <v>-7.0702793589795299</v>
      </c>
    </row>
    <row r="5" spans="1:20" x14ac:dyDescent="0.15">
      <c r="A5" t="s">
        <v>142</v>
      </c>
      <c r="B5">
        <v>-22.4940273024921</v>
      </c>
      <c r="C5">
        <v>-22.816791730444699</v>
      </c>
      <c r="D5">
        <v>49.573592947322602</v>
      </c>
      <c r="E5">
        <v>-22.629136545786299</v>
      </c>
      <c r="F5">
        <v>-1.7588287512551299</v>
      </c>
      <c r="G5">
        <v>-6.2890966505777204</v>
      </c>
      <c r="H5">
        <v>-28.001289971249001</v>
      </c>
      <c r="I5">
        <v>6.6054704763626599</v>
      </c>
      <c r="J5">
        <v>2.78351940612525</v>
      </c>
      <c r="K5">
        <v>23.077866690942901</v>
      </c>
      <c r="L5">
        <v>9.8269665175835108</v>
      </c>
      <c r="M5">
        <v>-27.8360924570771</v>
      </c>
      <c r="N5">
        <v>-8.1467464285440006</v>
      </c>
      <c r="O5">
        <v>13.3132972661927</v>
      </c>
      <c r="P5">
        <v>-7.7938595075638304</v>
      </c>
      <c r="Q5">
        <v>-46.989744516624</v>
      </c>
      <c r="R5">
        <v>-10.775603231094699</v>
      </c>
      <c r="S5">
        <v>1.2581890693986899</v>
      </c>
      <c r="T5">
        <v>2.0690943918543998</v>
      </c>
    </row>
    <row r="6" spans="1:20" x14ac:dyDescent="0.15">
      <c r="A6" t="s">
        <v>143</v>
      </c>
      <c r="B6">
        <v>11.243585459527001</v>
      </c>
      <c r="C6">
        <v>11.4644796421431</v>
      </c>
      <c r="D6">
        <v>-22.629136545786299</v>
      </c>
      <c r="E6">
        <v>118.25450084970799</v>
      </c>
      <c r="F6">
        <v>1.0423211372464201</v>
      </c>
      <c r="G6">
        <v>-14.693008127895</v>
      </c>
      <c r="H6">
        <v>44.698233095291997</v>
      </c>
      <c r="I6">
        <v>-12.8493775203849</v>
      </c>
      <c r="J6">
        <v>-39.061008515462497</v>
      </c>
      <c r="K6">
        <v>-8.5883579810435506</v>
      </c>
      <c r="L6">
        <v>28.767914976291099</v>
      </c>
      <c r="M6">
        <v>57.795438026412</v>
      </c>
      <c r="N6">
        <v>75.945151203963107</v>
      </c>
      <c r="O6">
        <v>46.032945185465302</v>
      </c>
      <c r="P6">
        <v>3.4594706496764598</v>
      </c>
      <c r="Q6">
        <v>22.544078852661102</v>
      </c>
      <c r="R6">
        <v>5.5107855774943104</v>
      </c>
      <c r="S6">
        <v>-2.5213224299776198</v>
      </c>
      <c r="T6">
        <v>-30.806827229917801</v>
      </c>
    </row>
    <row r="7" spans="1:20" x14ac:dyDescent="0.15">
      <c r="A7" t="s">
        <v>144</v>
      </c>
      <c r="B7">
        <v>4.4401225723917097</v>
      </c>
      <c r="C7">
        <v>4.5553278035341398</v>
      </c>
      <c r="D7">
        <v>-1.7588287512551299</v>
      </c>
      <c r="E7">
        <v>1.0423211372464201</v>
      </c>
      <c r="F7">
        <v>6.7983861902746003</v>
      </c>
      <c r="G7">
        <v>2.0769791317240101</v>
      </c>
      <c r="H7">
        <v>16.786925141157901</v>
      </c>
      <c r="I7">
        <v>2.31367608751889</v>
      </c>
      <c r="J7">
        <v>2.0814725598111998</v>
      </c>
      <c r="K7">
        <v>-5.3933375909590699</v>
      </c>
      <c r="L7">
        <v>-9.9712480279632096</v>
      </c>
      <c r="M7">
        <v>3.9032842586512899</v>
      </c>
      <c r="N7">
        <v>14.7337136630524</v>
      </c>
      <c r="O7">
        <v>2.2025744845426201</v>
      </c>
      <c r="P7">
        <v>1.74621663224621</v>
      </c>
      <c r="Q7">
        <v>9.9036995331622002</v>
      </c>
      <c r="R7">
        <v>2.4440969039603799</v>
      </c>
      <c r="S7">
        <v>8.3104218427306904</v>
      </c>
      <c r="T7">
        <v>0.57744670565453604</v>
      </c>
    </row>
    <row r="8" spans="1:20" x14ac:dyDescent="0.15">
      <c r="A8" t="s">
        <v>145</v>
      </c>
      <c r="B8">
        <v>-0.99388469301174498</v>
      </c>
      <c r="C8">
        <v>4.1595894655396801</v>
      </c>
      <c r="D8">
        <v>-6.2890966505777204</v>
      </c>
      <c r="E8">
        <v>-14.693008127895</v>
      </c>
      <c r="F8">
        <v>2.0769791317240101</v>
      </c>
      <c r="G8">
        <v>9.1026317490632191</v>
      </c>
      <c r="H8">
        <v>-2.0461281294413598</v>
      </c>
      <c r="I8">
        <v>2.9157575257867898</v>
      </c>
      <c r="J8">
        <v>7.7434127548702003</v>
      </c>
      <c r="K8">
        <v>-7.4932565725965103</v>
      </c>
      <c r="L8">
        <v>-20.219773713986999</v>
      </c>
      <c r="M8">
        <v>-0.23599279976603499</v>
      </c>
      <c r="N8">
        <v>-9.2288856018840395</v>
      </c>
      <c r="O8">
        <v>-8.4353925470802196</v>
      </c>
      <c r="P8">
        <v>-3.1931757697959702</v>
      </c>
      <c r="Q8">
        <v>5.9747188549512096</v>
      </c>
      <c r="R8">
        <v>5.8405920568974796</v>
      </c>
      <c r="S8">
        <v>1.0448820298203501</v>
      </c>
      <c r="T8">
        <v>8.1563460032345407</v>
      </c>
    </row>
    <row r="9" spans="1:20" x14ac:dyDescent="0.15">
      <c r="A9" t="s">
        <v>146</v>
      </c>
      <c r="B9">
        <v>4.9447453579021703</v>
      </c>
      <c r="C9">
        <v>6.8412048215788097</v>
      </c>
      <c r="D9">
        <v>-28.001289971249001</v>
      </c>
      <c r="E9">
        <v>44.698233095291997</v>
      </c>
      <c r="F9">
        <v>16.786925141157901</v>
      </c>
      <c r="G9">
        <v>-2.0461281294413598</v>
      </c>
      <c r="H9">
        <v>90.477814404214797</v>
      </c>
      <c r="I9">
        <v>-9.4290689362234996</v>
      </c>
      <c r="J9">
        <v>-12.060038056105601</v>
      </c>
      <c r="K9">
        <v>-19.698486687984602</v>
      </c>
      <c r="L9">
        <v>-55.798172646501897</v>
      </c>
      <c r="M9">
        <v>24.875719992512401</v>
      </c>
      <c r="N9">
        <v>67.908502460590995</v>
      </c>
      <c r="O9">
        <v>-0.109510310561343</v>
      </c>
      <c r="P9">
        <v>5.2051917405463302</v>
      </c>
      <c r="Q9">
        <v>25.028611402810402</v>
      </c>
      <c r="R9">
        <v>5.4230063386919403</v>
      </c>
      <c r="S9">
        <v>22.132797276852902</v>
      </c>
      <c r="T9">
        <v>-9.9522050416874599</v>
      </c>
    </row>
    <row r="10" spans="1:20" x14ac:dyDescent="0.15">
      <c r="A10" t="s">
        <v>147</v>
      </c>
      <c r="B10">
        <v>3.58358258147046</v>
      </c>
      <c r="C10">
        <v>3.0207297251071199</v>
      </c>
      <c r="D10">
        <v>6.6054704763626599</v>
      </c>
      <c r="E10">
        <v>-12.8493775203849</v>
      </c>
      <c r="F10">
        <v>2.31367608751889</v>
      </c>
      <c r="G10">
        <v>2.9157575257867898</v>
      </c>
      <c r="H10">
        <v>-9.4290689362234996</v>
      </c>
      <c r="I10">
        <v>5.5036478593349498</v>
      </c>
      <c r="J10">
        <v>6.2577793768414098</v>
      </c>
      <c r="K10">
        <v>0.26272977995054903</v>
      </c>
      <c r="L10">
        <v>6.2531415674908404</v>
      </c>
      <c r="M10">
        <v>-3.4612785404225002</v>
      </c>
      <c r="N10">
        <v>-5.1201832226701303</v>
      </c>
      <c r="O10">
        <v>2.0308012353257201</v>
      </c>
      <c r="P10">
        <v>0.38710498162928197</v>
      </c>
      <c r="Q10">
        <v>3.30689238066851</v>
      </c>
      <c r="R10">
        <v>0.98807784926633502</v>
      </c>
      <c r="S10">
        <v>2.2472341504067299</v>
      </c>
      <c r="T10">
        <v>3.7403478654111799</v>
      </c>
    </row>
    <row r="11" spans="1:20" x14ac:dyDescent="0.15">
      <c r="A11" t="s">
        <v>148</v>
      </c>
      <c r="B11">
        <v>1.44668284549361</v>
      </c>
      <c r="C11">
        <v>0.16111429158036</v>
      </c>
      <c r="D11">
        <v>2.78351940612525</v>
      </c>
      <c r="E11">
        <v>-39.061008515462497</v>
      </c>
      <c r="F11">
        <v>2.0814725598111998</v>
      </c>
      <c r="G11">
        <v>7.7434127548702003</v>
      </c>
      <c r="H11">
        <v>-12.060038056105601</v>
      </c>
      <c r="I11">
        <v>6.2577793768414098</v>
      </c>
      <c r="J11">
        <v>21.514308689078501</v>
      </c>
      <c r="K11">
        <v>2.2717518792163198</v>
      </c>
      <c r="L11">
        <v>-31.503112721354402</v>
      </c>
      <c r="M11">
        <v>-22.460736460206999</v>
      </c>
      <c r="N11">
        <v>-34.773241776329399</v>
      </c>
      <c r="O11">
        <v>-28.539083418509399</v>
      </c>
      <c r="P11">
        <v>0.437363032126937</v>
      </c>
      <c r="Q11">
        <v>-1.18839660391112</v>
      </c>
      <c r="R11">
        <v>-0.71648331750666405</v>
      </c>
      <c r="S11">
        <v>1.90129038555293</v>
      </c>
      <c r="T11">
        <v>13.732697630649</v>
      </c>
    </row>
    <row r="12" spans="1:20" x14ac:dyDescent="0.15">
      <c r="A12" t="s">
        <v>149</v>
      </c>
      <c r="B12">
        <v>-10.0800827538484</v>
      </c>
      <c r="C12">
        <v>-14.420433878416899</v>
      </c>
      <c r="D12">
        <v>23.077866690942901</v>
      </c>
      <c r="E12">
        <v>-8.5883579810435506</v>
      </c>
      <c r="F12">
        <v>-5.3933375909590699</v>
      </c>
      <c r="G12">
        <v>-7.4932565725965103</v>
      </c>
      <c r="H12">
        <v>-19.698486687984602</v>
      </c>
      <c r="I12">
        <v>0.26272977995054903</v>
      </c>
      <c r="J12">
        <v>2.2717518792163198</v>
      </c>
      <c r="K12">
        <v>36.777010456880497</v>
      </c>
      <c r="L12">
        <v>11.9237896511471</v>
      </c>
      <c r="M12">
        <v>-20.846762404701501</v>
      </c>
      <c r="N12">
        <v>-18.692554151565201</v>
      </c>
      <c r="O12">
        <v>-4.0059036843547604</v>
      </c>
      <c r="P12">
        <v>-7.7891834766740899</v>
      </c>
      <c r="Q12">
        <v>-44.822423620440702</v>
      </c>
      <c r="R12">
        <v>-10.086985181519101</v>
      </c>
      <c r="S12">
        <v>-1.54112283373974</v>
      </c>
      <c r="T12">
        <v>-0.51114998338572804</v>
      </c>
    </row>
    <row r="13" spans="1:20" x14ac:dyDescent="0.15">
      <c r="A13" t="s">
        <v>150</v>
      </c>
      <c r="B13">
        <v>45.989777455455801</v>
      </c>
      <c r="C13">
        <v>40.315895670909903</v>
      </c>
      <c r="D13">
        <v>9.8269665175835108</v>
      </c>
      <c r="E13">
        <v>28.767914976291099</v>
      </c>
      <c r="F13">
        <v>-9.9712480279632096</v>
      </c>
      <c r="G13">
        <v>-20.219773713986999</v>
      </c>
      <c r="H13">
        <v>-55.798172646501897</v>
      </c>
      <c r="I13">
        <v>6.2531415674908404</v>
      </c>
      <c r="J13">
        <v>-31.503112721354402</v>
      </c>
      <c r="K13">
        <v>11.9237896511471</v>
      </c>
      <c r="L13">
        <v>796.99565715832796</v>
      </c>
      <c r="M13">
        <v>104.39552455465299</v>
      </c>
      <c r="N13">
        <v>26.241040704673999</v>
      </c>
      <c r="O13">
        <v>77.147045254825201</v>
      </c>
      <c r="P13">
        <v>1.6777214249402299</v>
      </c>
      <c r="Q13">
        <v>37.987391509150399</v>
      </c>
      <c r="R13">
        <v>11.3096627366682</v>
      </c>
      <c r="S13">
        <v>-12.5091411088589</v>
      </c>
      <c r="T13">
        <v>-45.675929651619803</v>
      </c>
    </row>
    <row r="14" spans="1:20" x14ac:dyDescent="0.15">
      <c r="A14" t="s">
        <v>151</v>
      </c>
      <c r="B14">
        <v>21.286912714044998</v>
      </c>
      <c r="C14">
        <v>38.797608035587999</v>
      </c>
      <c r="D14">
        <v>-27.8360924570771</v>
      </c>
      <c r="E14">
        <v>57.795438026412</v>
      </c>
      <c r="F14">
        <v>3.9032842586512899</v>
      </c>
      <c r="G14">
        <v>-0.23599279976603499</v>
      </c>
      <c r="H14">
        <v>24.875719992512401</v>
      </c>
      <c r="I14">
        <v>-3.4612785404225002</v>
      </c>
      <c r="J14">
        <v>-22.460736460206999</v>
      </c>
      <c r="K14">
        <v>-20.846762404701501</v>
      </c>
      <c r="L14">
        <v>104.39552455465299</v>
      </c>
      <c r="M14">
        <v>121.146563024055</v>
      </c>
      <c r="N14">
        <v>48.809608040153499</v>
      </c>
      <c r="O14">
        <v>33.696540570657497</v>
      </c>
      <c r="P14">
        <v>-11.7401513270819</v>
      </c>
      <c r="Q14">
        <v>46.402719773557997</v>
      </c>
      <c r="R14">
        <v>30.0570248411296</v>
      </c>
      <c r="S14">
        <v>-2.9323027925673899</v>
      </c>
      <c r="T14">
        <v>-35.431488719226103</v>
      </c>
    </row>
    <row r="15" spans="1:20" x14ac:dyDescent="0.15">
      <c r="A15" t="s">
        <v>152</v>
      </c>
      <c r="B15">
        <v>8.8528480867274908</v>
      </c>
      <c r="C15">
        <v>10.680492799430301</v>
      </c>
      <c r="D15">
        <v>-8.1467464285440006</v>
      </c>
      <c r="E15">
        <v>75.945151203963107</v>
      </c>
      <c r="F15">
        <v>14.7337136630524</v>
      </c>
      <c r="G15">
        <v>-9.2288856018840395</v>
      </c>
      <c r="H15">
        <v>67.908502460590995</v>
      </c>
      <c r="I15">
        <v>-5.1201832226701303</v>
      </c>
      <c r="J15">
        <v>-34.773241776329399</v>
      </c>
      <c r="K15">
        <v>-18.692554151565201</v>
      </c>
      <c r="L15">
        <v>26.241040704673999</v>
      </c>
      <c r="M15">
        <v>48.809608040153499</v>
      </c>
      <c r="N15">
        <v>107.717365201025</v>
      </c>
      <c r="O15">
        <v>61.886800289366299</v>
      </c>
      <c r="P15">
        <v>4.7831278915015796</v>
      </c>
      <c r="Q15">
        <v>28.129306742555499</v>
      </c>
      <c r="R15">
        <v>6.7508215145505801</v>
      </c>
      <c r="S15">
        <v>19.089650216694601</v>
      </c>
      <c r="T15">
        <v>-23.304657542889299</v>
      </c>
    </row>
    <row r="16" spans="1:20" x14ac:dyDescent="0.15">
      <c r="A16" t="s">
        <v>153</v>
      </c>
      <c r="B16">
        <v>6.28742065248563</v>
      </c>
      <c r="C16">
        <v>6.6205050440802697</v>
      </c>
      <c r="D16">
        <v>13.3132972661927</v>
      </c>
      <c r="E16">
        <v>46.032945185465302</v>
      </c>
      <c r="F16">
        <v>2.2025744845426201</v>
      </c>
      <c r="G16">
        <v>-8.4353925470802196</v>
      </c>
      <c r="H16">
        <v>-0.109510310561343</v>
      </c>
      <c r="I16">
        <v>2.0308012353257201</v>
      </c>
      <c r="J16">
        <v>-28.539083418509399</v>
      </c>
      <c r="K16">
        <v>-4.0059036843547604</v>
      </c>
      <c r="L16">
        <v>77.147045254825201</v>
      </c>
      <c r="M16">
        <v>33.696540570657497</v>
      </c>
      <c r="N16">
        <v>61.886800289366299</v>
      </c>
      <c r="O16">
        <v>68.289415512382902</v>
      </c>
      <c r="P16">
        <v>0.94334295841004701</v>
      </c>
      <c r="Q16">
        <v>10.6779621200011</v>
      </c>
      <c r="R16">
        <v>3.0620198024096101</v>
      </c>
      <c r="S16">
        <v>2.6860901845085299</v>
      </c>
      <c r="T16">
        <v>-17.509257253735601</v>
      </c>
    </row>
    <row r="17" spans="1:20" x14ac:dyDescent="0.15">
      <c r="A17" t="s">
        <v>154</v>
      </c>
      <c r="B17">
        <v>14.631740767108999</v>
      </c>
      <c r="C17">
        <v>4.5791325137528602</v>
      </c>
      <c r="D17">
        <v>-7.7938595075638304</v>
      </c>
      <c r="E17">
        <v>3.4594706496764598</v>
      </c>
      <c r="F17">
        <v>1.74621663224621</v>
      </c>
      <c r="G17">
        <v>-3.1931757697959702</v>
      </c>
      <c r="H17">
        <v>5.2051917405463302</v>
      </c>
      <c r="I17">
        <v>0.38710498162928197</v>
      </c>
      <c r="J17">
        <v>0.437363032126937</v>
      </c>
      <c r="K17">
        <v>-7.7891834766740899</v>
      </c>
      <c r="L17">
        <v>1.6777214249402299</v>
      </c>
      <c r="M17">
        <v>-11.7401513270819</v>
      </c>
      <c r="N17">
        <v>4.7831278915015796</v>
      </c>
      <c r="O17">
        <v>0.94334295841004701</v>
      </c>
      <c r="P17">
        <v>13.746592321710899</v>
      </c>
      <c r="Q17">
        <v>22.326958824446599</v>
      </c>
      <c r="R17">
        <v>-5.1892061005060199</v>
      </c>
      <c r="S17">
        <v>2.2011100280672999</v>
      </c>
      <c r="T17">
        <v>0.99012045400116599</v>
      </c>
    </row>
    <row r="18" spans="1:20" x14ac:dyDescent="0.15">
      <c r="A18" t="s">
        <v>155</v>
      </c>
      <c r="B18">
        <v>48.783726647980103</v>
      </c>
      <c r="C18">
        <v>42.573715126641297</v>
      </c>
      <c r="D18">
        <v>-46.989744516624</v>
      </c>
      <c r="E18">
        <v>22.544078852661102</v>
      </c>
      <c r="F18">
        <v>9.9036995331622002</v>
      </c>
      <c r="G18">
        <v>5.9747188549512096</v>
      </c>
      <c r="H18">
        <v>25.028611402810402</v>
      </c>
      <c r="I18">
        <v>3.30689238066851</v>
      </c>
      <c r="J18">
        <v>-1.18839660391112</v>
      </c>
      <c r="K18">
        <v>-44.822423620440702</v>
      </c>
      <c r="L18">
        <v>37.987391509150399</v>
      </c>
      <c r="M18">
        <v>46.402719773557997</v>
      </c>
      <c r="N18">
        <v>28.129306742555499</v>
      </c>
      <c r="O18">
        <v>10.6779621200011</v>
      </c>
      <c r="P18">
        <v>22.326958824446599</v>
      </c>
      <c r="Q18">
        <v>95.257917931659307</v>
      </c>
      <c r="R18">
        <v>15.002532195332501</v>
      </c>
      <c r="S18">
        <v>4.8773369567412299</v>
      </c>
      <c r="T18">
        <v>-7.2335410959026696</v>
      </c>
    </row>
    <row r="19" spans="1:20" x14ac:dyDescent="0.15">
      <c r="A19" t="s">
        <v>156</v>
      </c>
      <c r="B19">
        <v>4.2458764132443099</v>
      </c>
      <c r="C19">
        <v>12.1510828228636</v>
      </c>
      <c r="D19">
        <v>-10.775603231094699</v>
      </c>
      <c r="E19">
        <v>5.5107855774943104</v>
      </c>
      <c r="F19">
        <v>2.4440969039603799</v>
      </c>
      <c r="G19">
        <v>5.8405920568974796</v>
      </c>
      <c r="H19">
        <v>5.4230063386919403</v>
      </c>
      <c r="I19">
        <v>0.98807784926633502</v>
      </c>
      <c r="J19">
        <v>-0.71648331750666405</v>
      </c>
      <c r="K19">
        <v>-10.086985181519101</v>
      </c>
      <c r="L19">
        <v>11.3096627366682</v>
      </c>
      <c r="M19">
        <v>30.0570248411296</v>
      </c>
      <c r="N19">
        <v>6.7508215145505801</v>
      </c>
      <c r="O19">
        <v>3.0620198024096101</v>
      </c>
      <c r="P19">
        <v>-5.1892061005060199</v>
      </c>
      <c r="Q19">
        <v>15.002532195332501</v>
      </c>
      <c r="R19">
        <v>11.3517931753696</v>
      </c>
      <c r="S19">
        <v>6.1367136485375902E-2</v>
      </c>
      <c r="T19">
        <v>-3.6655000503211101</v>
      </c>
    </row>
    <row r="20" spans="1:20" x14ac:dyDescent="0.15">
      <c r="A20" t="s">
        <v>157</v>
      </c>
      <c r="B20">
        <v>2.9201376205230098</v>
      </c>
      <c r="C20">
        <v>1.6137981008669999</v>
      </c>
      <c r="D20">
        <v>1.2581890693986899</v>
      </c>
      <c r="E20">
        <v>-2.5213224299776198</v>
      </c>
      <c r="F20">
        <v>8.3104218427306904</v>
      </c>
      <c r="G20">
        <v>1.0448820298203501</v>
      </c>
      <c r="H20">
        <v>22.132797276852902</v>
      </c>
      <c r="I20">
        <v>2.2472341504067299</v>
      </c>
      <c r="J20">
        <v>1.90129038555293</v>
      </c>
      <c r="K20">
        <v>-1.54112283373974</v>
      </c>
      <c r="L20">
        <v>-12.5091411088589</v>
      </c>
      <c r="M20">
        <v>-2.9323027925673899</v>
      </c>
      <c r="N20">
        <v>19.089650216694601</v>
      </c>
      <c r="O20">
        <v>2.6860901845085299</v>
      </c>
      <c r="P20">
        <v>2.2011100280672999</v>
      </c>
      <c r="Q20">
        <v>4.8773369567412299</v>
      </c>
      <c r="R20">
        <v>6.1367136485375902E-2</v>
      </c>
      <c r="S20">
        <v>14.291086769387499</v>
      </c>
      <c r="T20">
        <v>1.74036188783368</v>
      </c>
    </row>
    <row r="21" spans="1:20" x14ac:dyDescent="0.15">
      <c r="A21" t="s">
        <v>158</v>
      </c>
      <c r="B21">
        <v>-6.1410942157547002</v>
      </c>
      <c r="C21">
        <v>-7.0702793589795299</v>
      </c>
      <c r="D21">
        <v>2.0690943918543998</v>
      </c>
      <c r="E21">
        <v>-30.806827229917801</v>
      </c>
      <c r="F21">
        <v>0.57744670565453604</v>
      </c>
      <c r="G21">
        <v>8.1563460032345407</v>
      </c>
      <c r="H21">
        <v>-9.9522050416874599</v>
      </c>
      <c r="I21">
        <v>3.7403478654111799</v>
      </c>
      <c r="J21">
        <v>13.732697630649</v>
      </c>
      <c r="K21">
        <v>-0.51114998338572804</v>
      </c>
      <c r="L21">
        <v>-45.675929651619803</v>
      </c>
      <c r="M21">
        <v>-35.431488719226103</v>
      </c>
      <c r="N21">
        <v>-23.304657542889299</v>
      </c>
      <c r="O21">
        <v>-17.509257253735601</v>
      </c>
      <c r="P21">
        <v>0.99012045400116599</v>
      </c>
      <c r="Q21">
        <v>-7.2335410959026696</v>
      </c>
      <c r="R21">
        <v>-3.6655000503211101</v>
      </c>
      <c r="S21">
        <v>1.74036188783368</v>
      </c>
      <c r="T21">
        <v>17.7641135676072</v>
      </c>
    </row>
    <row r="23" spans="1:20" x14ac:dyDescent="0.15">
      <c r="A23" t="s">
        <v>159</v>
      </c>
    </row>
    <row r="24" spans="1:20" x14ac:dyDescent="0.15">
      <c r="A24" t="s">
        <v>133</v>
      </c>
      <c r="B24" t="s">
        <v>140</v>
      </c>
      <c r="C24" t="s">
        <v>141</v>
      </c>
      <c r="D24" t="s">
        <v>142</v>
      </c>
      <c r="E24" t="s">
        <v>143</v>
      </c>
      <c r="F24" t="s">
        <v>144</v>
      </c>
      <c r="G24" t="s">
        <v>145</v>
      </c>
      <c r="H24" t="s">
        <v>146</v>
      </c>
      <c r="I24" t="s">
        <v>147</v>
      </c>
      <c r="J24" t="s">
        <v>148</v>
      </c>
      <c r="K24" t="s">
        <v>149</v>
      </c>
      <c r="L24" t="s">
        <v>150</v>
      </c>
      <c r="M24" t="s">
        <v>151</v>
      </c>
      <c r="N24" t="s">
        <v>152</v>
      </c>
      <c r="O24" t="s">
        <v>153</v>
      </c>
      <c r="P24" t="s">
        <v>154</v>
      </c>
      <c r="Q24" t="s">
        <v>155</v>
      </c>
      <c r="R24" t="s">
        <v>156</v>
      </c>
      <c r="S24" t="s">
        <v>157</v>
      </c>
      <c r="T24" t="s">
        <v>158</v>
      </c>
    </row>
    <row r="25" spans="1:20" x14ac:dyDescent="0.15">
      <c r="A25" t="s">
        <v>140</v>
      </c>
      <c r="B25">
        <f t="array" ref="B25:T43">MINVERSE(B3:T21)</f>
        <v>99.542305740203005</v>
      </c>
      <c r="C25">
        <v>-149.343926215712</v>
      </c>
      <c r="D25">
        <v>-2.8505233839074866</v>
      </c>
      <c r="E25">
        <v>0.1134494861992064</v>
      </c>
      <c r="F25">
        <v>-24.452199795981716</v>
      </c>
      <c r="G25">
        <v>-101.87281043570206</v>
      </c>
      <c r="H25">
        <v>3.2264156980986485</v>
      </c>
      <c r="I25">
        <v>21.418649846274555</v>
      </c>
      <c r="J25">
        <v>1.0148188691296971</v>
      </c>
      <c r="K25">
        <v>-8.5173121860738039</v>
      </c>
      <c r="L25">
        <v>0.17226213855530997</v>
      </c>
      <c r="M25">
        <v>-11.90934823472209</v>
      </c>
      <c r="N25">
        <v>1.2393028352208078</v>
      </c>
      <c r="O25">
        <v>-1.0750276327196735</v>
      </c>
      <c r="P25">
        <v>-99.188064618572412</v>
      </c>
      <c r="Q25">
        <v>29.265678141064537</v>
      </c>
      <c r="R25">
        <v>126.28558216668733</v>
      </c>
      <c r="S25">
        <v>5.2247366923053988</v>
      </c>
      <c r="T25">
        <v>39.585170122869329</v>
      </c>
    </row>
    <row r="26" spans="1:20" x14ac:dyDescent="0.15">
      <c r="A26" t="s">
        <v>141</v>
      </c>
      <c r="B26">
        <v>-149.34392621570714</v>
      </c>
      <c r="C26">
        <v>248.7195157533265</v>
      </c>
      <c r="D26">
        <v>14.458432548330146</v>
      </c>
      <c r="E26">
        <v>0.18534030242203445</v>
      </c>
      <c r="F26">
        <v>32.935109587003495</v>
      </c>
      <c r="G26">
        <v>194.76694492051806</v>
      </c>
      <c r="H26">
        <v>-4.7048112495438055</v>
      </c>
      <c r="I26">
        <v>-48.099507317097505</v>
      </c>
      <c r="J26">
        <v>-7.1227732508773149</v>
      </c>
      <c r="K26">
        <v>8.0913595924461035</v>
      </c>
      <c r="L26">
        <v>-0.34047634854809306</v>
      </c>
      <c r="M26">
        <v>21.850648147511951</v>
      </c>
      <c r="N26">
        <v>-0.16825481882693791</v>
      </c>
      <c r="O26">
        <v>-2.3688928469405512</v>
      </c>
      <c r="P26">
        <v>172.66056138431333</v>
      </c>
      <c r="Q26">
        <v>-58.386842083857715</v>
      </c>
      <c r="R26">
        <v>-213.37947666059972</v>
      </c>
      <c r="S26">
        <v>-8.1784048495289117</v>
      </c>
      <c r="T26">
        <v>-67.7405001298835</v>
      </c>
    </row>
    <row r="27" spans="1:20" x14ac:dyDescent="0.15">
      <c r="A27" t="s">
        <v>142</v>
      </c>
      <c r="B27">
        <v>-2.8505233839010087</v>
      </c>
      <c r="C27">
        <v>14.458432548320054</v>
      </c>
      <c r="D27">
        <v>6.2348074643662743</v>
      </c>
      <c r="E27">
        <v>0.14823530179338243</v>
      </c>
      <c r="F27">
        <v>-1.9758852010820087</v>
      </c>
      <c r="G27">
        <v>18.818351105208844</v>
      </c>
      <c r="H27">
        <v>0.69402635393975209</v>
      </c>
      <c r="I27">
        <v>-10.575795939529364</v>
      </c>
      <c r="J27">
        <v>-2.6179685391897438</v>
      </c>
      <c r="K27">
        <v>-0.28785502968189769</v>
      </c>
      <c r="L27">
        <v>-2.6592717434470732E-2</v>
      </c>
      <c r="M27">
        <v>1.8845303691316528</v>
      </c>
      <c r="N27">
        <v>0.31063551124723821</v>
      </c>
      <c r="O27">
        <v>-1.3736602191320544</v>
      </c>
      <c r="P27">
        <v>16.410895149779254</v>
      </c>
      <c r="Q27">
        <v>-6.6576315867011919</v>
      </c>
      <c r="R27">
        <v>-6.7220625126222799</v>
      </c>
      <c r="S27">
        <v>-0.68958714764422524</v>
      </c>
      <c r="T27">
        <v>-1.8461435986530812</v>
      </c>
    </row>
    <row r="28" spans="1:20" x14ac:dyDescent="0.15">
      <c r="A28" t="s">
        <v>143</v>
      </c>
      <c r="B28">
        <v>0.11344948619901653</v>
      </c>
      <c r="C28">
        <v>0.18534030242233854</v>
      </c>
      <c r="D28">
        <v>0.14823530179340585</v>
      </c>
      <c r="E28">
        <v>5.3568348610375488E-2</v>
      </c>
      <c r="F28">
        <v>-0.23275509777951894</v>
      </c>
      <c r="G28">
        <v>1.2902045156148692</v>
      </c>
      <c r="H28">
        <v>6.4775429933677589E-2</v>
      </c>
      <c r="I28">
        <v>-0.29036356071818792</v>
      </c>
      <c r="J28">
        <v>0.12012894286395759</v>
      </c>
      <c r="K28">
        <v>-0.1154540222172968</v>
      </c>
      <c r="L28">
        <v>6.7973368096429306E-4</v>
      </c>
      <c r="M28">
        <v>0.1121344797387102</v>
      </c>
      <c r="N28">
        <v>-5.206852242837539E-2</v>
      </c>
      <c r="O28">
        <v>6.2221508212042018E-2</v>
      </c>
      <c r="P28">
        <v>0.16520957957075874</v>
      </c>
      <c r="Q28">
        <v>-0.16790747517745305</v>
      </c>
      <c r="R28">
        <v>-0.97673295109455394</v>
      </c>
      <c r="S28">
        <v>8.4223226408791749E-2</v>
      </c>
      <c r="T28">
        <v>-0.46391591429439166</v>
      </c>
    </row>
    <row r="29" spans="1:20" x14ac:dyDescent="0.15">
      <c r="A29" t="s">
        <v>144</v>
      </c>
      <c r="B29">
        <v>-24.452199795997224</v>
      </c>
      <c r="C29">
        <v>32.935109587030979</v>
      </c>
      <c r="D29">
        <v>-1.9758852010782333</v>
      </c>
      <c r="E29">
        <v>-0.23275509777950287</v>
      </c>
      <c r="F29">
        <v>52.701660068929186</v>
      </c>
      <c r="G29">
        <v>17.910953636447697</v>
      </c>
      <c r="H29">
        <v>-13.0933818365395</v>
      </c>
      <c r="I29">
        <v>-36.188228914004149</v>
      </c>
      <c r="J29">
        <v>-1.9817572923833393</v>
      </c>
      <c r="K29">
        <v>2.6409038228033688</v>
      </c>
      <c r="L29">
        <v>-3.4989698126543387E-2</v>
      </c>
      <c r="M29">
        <v>2.9844419691203372</v>
      </c>
      <c r="N29">
        <v>-0.19676369517091458</v>
      </c>
      <c r="O29">
        <v>-0.75564124770522367</v>
      </c>
      <c r="P29">
        <v>16.692229168996999</v>
      </c>
      <c r="Q29">
        <v>-4.1373169167819031</v>
      </c>
      <c r="R29">
        <v>-33.819654294259863</v>
      </c>
      <c r="S29">
        <v>-3.0826789845483291</v>
      </c>
      <c r="T29">
        <v>-7.994710163517472</v>
      </c>
    </row>
    <row r="30" spans="1:20" x14ac:dyDescent="0.15">
      <c r="A30" t="s">
        <v>145</v>
      </c>
      <c r="B30">
        <v>-101.8728104357633</v>
      </c>
      <c r="C30">
        <v>194.76694492062779</v>
      </c>
      <c r="D30">
        <v>18.818351105225478</v>
      </c>
      <c r="E30">
        <v>1.2902045156147699</v>
      </c>
      <c r="F30">
        <v>17.910953636426981</v>
      </c>
      <c r="G30">
        <v>415.81619035636521</v>
      </c>
      <c r="H30">
        <v>-6.1951860846499951</v>
      </c>
      <c r="I30">
        <v>-40.849323047887125</v>
      </c>
      <c r="J30">
        <v>-13.845764666927966</v>
      </c>
      <c r="K30">
        <v>-0.29705773286448584</v>
      </c>
      <c r="L30">
        <v>-0.39296919153143006</v>
      </c>
      <c r="M30">
        <v>40.857625267506741</v>
      </c>
      <c r="N30">
        <v>3.9941344906632721</v>
      </c>
      <c r="O30">
        <v>-10.011589937688944</v>
      </c>
      <c r="P30">
        <v>172.791737305937</v>
      </c>
      <c r="Q30">
        <v>-67.500212435085359</v>
      </c>
      <c r="R30">
        <v>-359.21416661995659</v>
      </c>
      <c r="S30">
        <v>-2.5287475919702942</v>
      </c>
      <c r="T30">
        <v>-168.46713608999951</v>
      </c>
    </row>
    <row r="31" spans="1:20" x14ac:dyDescent="0.15">
      <c r="A31" t="s">
        <v>146</v>
      </c>
      <c r="B31">
        <v>3.2264156981057472</v>
      </c>
      <c r="C31">
        <v>-4.7048112495557257</v>
      </c>
      <c r="D31">
        <v>0.69402635393870393</v>
      </c>
      <c r="E31">
        <v>6.4775429933663781E-2</v>
      </c>
      <c r="F31">
        <v>-13.093381836540395</v>
      </c>
      <c r="G31">
        <v>-6.1951860846618816</v>
      </c>
      <c r="H31">
        <v>4.9261194441681919</v>
      </c>
      <c r="I31">
        <v>8.7018125460385622</v>
      </c>
      <c r="J31">
        <v>0.79515483165231682</v>
      </c>
      <c r="K31">
        <v>-3.0136358645783925E-2</v>
      </c>
      <c r="L31">
        <v>1.0951012189007387E-2</v>
      </c>
      <c r="M31">
        <v>-0.65694710415487156</v>
      </c>
      <c r="N31">
        <v>-1.9473310329901783</v>
      </c>
      <c r="O31">
        <v>2.1361053026561065</v>
      </c>
      <c r="P31">
        <v>-0.21179521419802474</v>
      </c>
      <c r="Q31">
        <v>0.23066754988109181</v>
      </c>
      <c r="R31">
        <v>10.358888786525014</v>
      </c>
      <c r="S31">
        <v>0.36074608313432188</v>
      </c>
      <c r="T31">
        <v>3.332949099628161</v>
      </c>
    </row>
    <row r="32" spans="1:20" x14ac:dyDescent="0.15">
      <c r="A32" t="s">
        <v>147</v>
      </c>
      <c r="B32">
        <v>21.418649846273631</v>
      </c>
      <c r="C32">
        <v>-48.099507317098272</v>
      </c>
      <c r="D32">
        <v>-10.575795939531973</v>
      </c>
      <c r="E32">
        <v>-0.29036356071816477</v>
      </c>
      <c r="F32">
        <v>-36.188228913997172</v>
      </c>
      <c r="G32">
        <v>-40.849323047872645</v>
      </c>
      <c r="H32">
        <v>8.7018125460359297</v>
      </c>
      <c r="I32">
        <v>58.615045557388974</v>
      </c>
      <c r="J32">
        <v>-1.1589313087267077</v>
      </c>
      <c r="K32">
        <v>-1.5348896413898701</v>
      </c>
      <c r="L32">
        <v>3.5779680220618497E-2</v>
      </c>
      <c r="M32">
        <v>-3.9663509610909116</v>
      </c>
      <c r="N32">
        <v>6.3666331560406228E-2</v>
      </c>
      <c r="O32">
        <v>-0.43446647627637835</v>
      </c>
      <c r="P32">
        <v>-38.097728446319216</v>
      </c>
      <c r="Q32">
        <v>13.27829292374472</v>
      </c>
      <c r="R32">
        <v>29.687074806803302</v>
      </c>
      <c r="S32">
        <v>2.7664813477827068</v>
      </c>
      <c r="T32">
        <v>7.5272642321420564</v>
      </c>
    </row>
    <row r="33" spans="1:20" x14ac:dyDescent="0.15">
      <c r="A33" t="s">
        <v>148</v>
      </c>
      <c r="B33">
        <v>1.0148188691284321</v>
      </c>
      <c r="C33">
        <v>-7.1227732508756398</v>
      </c>
      <c r="D33">
        <v>-2.6179685391899561</v>
      </c>
      <c r="E33">
        <v>0.12012894286396732</v>
      </c>
      <c r="F33">
        <v>-1.9817572923819278</v>
      </c>
      <c r="G33">
        <v>-13.845764666923293</v>
      </c>
      <c r="H33">
        <v>0.79515483165195933</v>
      </c>
      <c r="I33">
        <v>-1.1589313087273159</v>
      </c>
      <c r="J33">
        <v>7.5298786102295745</v>
      </c>
      <c r="K33">
        <v>0.50370027551089847</v>
      </c>
      <c r="L33">
        <v>4.5005637014553665E-2</v>
      </c>
      <c r="M33">
        <v>-2.0523930381728173</v>
      </c>
      <c r="N33">
        <v>-0.90941671447053851</v>
      </c>
      <c r="O33">
        <v>3.9253294160651588</v>
      </c>
      <c r="P33">
        <v>-9.7789236611508148</v>
      </c>
      <c r="Q33">
        <v>4.5446894256861619</v>
      </c>
      <c r="R33">
        <v>7.9275221124737705</v>
      </c>
      <c r="S33">
        <v>0.79120342346658834</v>
      </c>
      <c r="T33">
        <v>1.9857645849285008</v>
      </c>
    </row>
    <row r="34" spans="1:20" x14ac:dyDescent="0.15">
      <c r="A34" t="s">
        <v>149</v>
      </c>
      <c r="B34">
        <v>-8.5173121860716741</v>
      </c>
      <c r="C34">
        <v>8.0913595924430286</v>
      </c>
      <c r="D34">
        <v>-0.28785502968160515</v>
      </c>
      <c r="E34">
        <v>-0.11545402221731024</v>
      </c>
      <c r="F34">
        <v>2.6409038228019179</v>
      </c>
      <c r="G34">
        <v>-0.29705773287116866</v>
      </c>
      <c r="H34">
        <v>-3.0136358645246421E-2</v>
      </c>
      <c r="I34">
        <v>-1.5348896413893858</v>
      </c>
      <c r="J34">
        <v>0.50370027551086138</v>
      </c>
      <c r="K34">
        <v>2.7999308317532106</v>
      </c>
      <c r="L34">
        <v>7.6799103421555199E-3</v>
      </c>
      <c r="M34">
        <v>0.12907320548221898</v>
      </c>
      <c r="N34">
        <v>-0.49540072258795803</v>
      </c>
      <c r="O34">
        <v>0.78477249577720221</v>
      </c>
      <c r="P34">
        <v>6.6823634693710705</v>
      </c>
      <c r="Q34">
        <v>0.42234056865129344</v>
      </c>
      <c r="R34">
        <v>-1.1412945861070329</v>
      </c>
      <c r="S34">
        <v>-0.80488467087739834</v>
      </c>
      <c r="T34">
        <v>0.20097581504297421</v>
      </c>
    </row>
    <row r="35" spans="1:20" x14ac:dyDescent="0.15">
      <c r="A35" t="s">
        <v>150</v>
      </c>
      <c r="B35">
        <v>0.17226213855533926</v>
      </c>
      <c r="C35">
        <v>-0.34047634854815301</v>
      </c>
      <c r="D35">
        <v>-2.6592717434487823E-2</v>
      </c>
      <c r="E35">
        <v>6.7973368096459002E-4</v>
      </c>
      <c r="F35">
        <v>-3.4989698126509303E-2</v>
      </c>
      <c r="G35">
        <v>-0.39296919153134269</v>
      </c>
      <c r="H35">
        <v>1.0951012188991858E-2</v>
      </c>
      <c r="I35">
        <v>3.5779680220624901E-2</v>
      </c>
      <c r="J35">
        <v>4.5005637014557641E-2</v>
      </c>
      <c r="K35">
        <v>7.6799103421496175E-3</v>
      </c>
      <c r="L35">
        <v>2.6703978020694301E-3</v>
      </c>
      <c r="M35">
        <v>-4.9845781422144256E-2</v>
      </c>
      <c r="N35">
        <v>-6.5888038868898297E-3</v>
      </c>
      <c r="O35">
        <v>2.3345927369763635E-2</v>
      </c>
      <c r="P35">
        <v>-0.25283307879911782</v>
      </c>
      <c r="Q35">
        <v>0.10807649490418476</v>
      </c>
      <c r="R35">
        <v>0.39761173919230069</v>
      </c>
      <c r="S35">
        <v>7.4575511247208515E-3</v>
      </c>
      <c r="T35">
        <v>0.1351416436962356</v>
      </c>
    </row>
    <row r="36" spans="1:20" x14ac:dyDescent="0.15">
      <c r="A36" t="s">
        <v>151</v>
      </c>
      <c r="B36">
        <v>-11.909348234726099</v>
      </c>
      <c r="C36">
        <v>21.850648147519543</v>
      </c>
      <c r="D36">
        <v>1.8845303691332758</v>
      </c>
      <c r="E36">
        <v>0.11213447973869034</v>
      </c>
      <c r="F36">
        <v>2.9844419691177646</v>
      </c>
      <c r="G36">
        <v>40.857625267501085</v>
      </c>
      <c r="H36">
        <v>-0.65694710415353796</v>
      </c>
      <c r="I36">
        <v>-3.9663509610921142</v>
      </c>
      <c r="J36">
        <v>-2.0523930381731335</v>
      </c>
      <c r="K36">
        <v>0.12907320548283013</v>
      </c>
      <c r="L36">
        <v>-4.9845781422147191E-2</v>
      </c>
      <c r="M36">
        <v>5.3815127184841529</v>
      </c>
      <c r="N36">
        <v>0.18570133240176942</v>
      </c>
      <c r="O36">
        <v>-1.0771351492425569</v>
      </c>
      <c r="P36">
        <v>21.972563485635533</v>
      </c>
      <c r="Q36">
        <v>-8.4168141832057817</v>
      </c>
      <c r="R36">
        <v>-35.726783313364017</v>
      </c>
      <c r="S36">
        <v>-0.56126421352057254</v>
      </c>
      <c r="T36">
        <v>-14.426130314604404</v>
      </c>
    </row>
    <row r="37" spans="1:20" x14ac:dyDescent="0.15">
      <c r="A37" t="s">
        <v>152</v>
      </c>
      <c r="B37">
        <v>1.2393028352180202</v>
      </c>
      <c r="C37">
        <v>-0.16825481882249763</v>
      </c>
      <c r="D37">
        <v>0.31063551124743216</v>
      </c>
      <c r="E37">
        <v>-5.2068522428369311E-2</v>
      </c>
      <c r="F37">
        <v>-0.19676369517057296</v>
      </c>
      <c r="G37">
        <v>3.9941344906679643</v>
      </c>
      <c r="H37">
        <v>-1.9473310329902127</v>
      </c>
      <c r="I37">
        <v>6.36663315597156E-2</v>
      </c>
      <c r="J37">
        <v>-0.90941671447050854</v>
      </c>
      <c r="K37">
        <v>-0.49540072258776646</v>
      </c>
      <c r="L37">
        <v>-6.5888038868950373E-3</v>
      </c>
      <c r="M37">
        <v>0.18570133240229444</v>
      </c>
      <c r="N37">
        <v>2.6749669724785825</v>
      </c>
      <c r="O37">
        <v>-2.7591836194825792</v>
      </c>
      <c r="P37">
        <v>-1.6618894637081918</v>
      </c>
      <c r="Q37">
        <v>-1.2491812283961054E-2</v>
      </c>
      <c r="R37">
        <v>-4.1544791153910943</v>
      </c>
      <c r="S37">
        <v>8.0935456250557633E-2</v>
      </c>
      <c r="T37">
        <v>-1.6426284424161046</v>
      </c>
    </row>
    <row r="38" spans="1:20" x14ac:dyDescent="0.15">
      <c r="A38" t="s">
        <v>153</v>
      </c>
      <c r="B38">
        <v>-1.0750276327172494</v>
      </c>
      <c r="C38">
        <v>-2.3688928469445081</v>
      </c>
      <c r="D38">
        <v>-1.373660219132306</v>
      </c>
      <c r="E38">
        <v>6.22215082120402E-2</v>
      </c>
      <c r="F38">
        <v>-0.75564124770508356</v>
      </c>
      <c r="G38">
        <v>-10.011589937691969</v>
      </c>
      <c r="H38">
        <v>2.1361053026560257</v>
      </c>
      <c r="I38">
        <v>-0.43446647627596169</v>
      </c>
      <c r="J38">
        <v>3.9253294160651455</v>
      </c>
      <c r="K38">
        <v>0.7847724957770259</v>
      </c>
      <c r="L38">
        <v>2.3345927369767597E-2</v>
      </c>
      <c r="M38">
        <v>-1.0771351492429841</v>
      </c>
      <c r="N38">
        <v>-2.7591836194826018</v>
      </c>
      <c r="O38">
        <v>4.1373097956958649</v>
      </c>
      <c r="P38">
        <v>-2.2052973917566208</v>
      </c>
      <c r="Q38">
        <v>1.8745163824612721</v>
      </c>
      <c r="R38">
        <v>7.6061873005899177</v>
      </c>
      <c r="S38">
        <v>0.16367894185199974</v>
      </c>
      <c r="T38">
        <v>2.6605538071907064</v>
      </c>
    </row>
    <row r="39" spans="1:20" x14ac:dyDescent="0.15">
      <c r="A39" t="s">
        <v>154</v>
      </c>
      <c r="B39">
        <v>-99.188064618554648</v>
      </c>
      <c r="C39">
        <v>172.66056138428971</v>
      </c>
      <c r="D39">
        <v>16.410895149785251</v>
      </c>
      <c r="E39">
        <v>0.16520957957048757</v>
      </c>
      <c r="F39">
        <v>16.692229168969369</v>
      </c>
      <c r="G39">
        <v>172.79173730582451</v>
      </c>
      <c r="H39">
        <v>-0.2117952141873585</v>
      </c>
      <c r="I39">
        <v>-38.097728446310732</v>
      </c>
      <c r="J39">
        <v>-9.7789236611509605</v>
      </c>
      <c r="K39">
        <v>6.6823634693724481</v>
      </c>
      <c r="L39">
        <v>-0.25283307879903805</v>
      </c>
      <c r="M39">
        <v>21.972563485626704</v>
      </c>
      <c r="N39">
        <v>-1.6618894637117598</v>
      </c>
      <c r="O39">
        <v>-2.2052973917529739</v>
      </c>
      <c r="P39">
        <v>160.12538790500886</v>
      </c>
      <c r="Q39">
        <v>-54.95551520920381</v>
      </c>
      <c r="R39">
        <v>-143.53352962793551</v>
      </c>
      <c r="S39">
        <v>-6.57588521584226</v>
      </c>
      <c r="T39">
        <v>-52.872673587082886</v>
      </c>
    </row>
    <row r="40" spans="1:20" x14ac:dyDescent="0.15">
      <c r="A40" t="s">
        <v>155</v>
      </c>
      <c r="B40">
        <v>29.265678141060043</v>
      </c>
      <c r="C40">
        <v>-58.38684208385218</v>
      </c>
      <c r="D40">
        <v>-6.6576315867033156</v>
      </c>
      <c r="E40">
        <v>-0.16790747517736834</v>
      </c>
      <c r="F40">
        <v>-4.1373169167729236</v>
      </c>
      <c r="G40">
        <v>-67.500212435049463</v>
      </c>
      <c r="H40">
        <v>0.23066754987757718</v>
      </c>
      <c r="I40">
        <v>13.278292923742368</v>
      </c>
      <c r="J40">
        <v>4.5446894256861841</v>
      </c>
      <c r="K40">
        <v>0.42234056865074898</v>
      </c>
      <c r="L40">
        <v>0.10807649490416062</v>
      </c>
      <c r="M40">
        <v>-8.4168141832030638</v>
      </c>
      <c r="N40">
        <v>-1.249181228278458E-2</v>
      </c>
      <c r="O40">
        <v>1.8745163824600524</v>
      </c>
      <c r="P40">
        <v>-54.955515209205593</v>
      </c>
      <c r="Q40">
        <v>21.876415134154463</v>
      </c>
      <c r="R40">
        <v>54.656808371332573</v>
      </c>
      <c r="S40">
        <v>1.7789600436980733</v>
      </c>
      <c r="T40">
        <v>20.718485456328882</v>
      </c>
    </row>
    <row r="41" spans="1:20" x14ac:dyDescent="0.15">
      <c r="A41" t="s">
        <v>156</v>
      </c>
      <c r="B41">
        <v>126.28558216675945</v>
      </c>
      <c r="C41">
        <v>-213.37947666072765</v>
      </c>
      <c r="D41">
        <v>-6.7220625126403588</v>
      </c>
      <c r="E41">
        <v>-0.97673295109444924</v>
      </c>
      <c r="F41">
        <v>-33.819654294245375</v>
      </c>
      <c r="G41">
        <v>-359.21416661997836</v>
      </c>
      <c r="H41">
        <v>10.358888786514564</v>
      </c>
      <c r="I41">
        <v>29.687074806824835</v>
      </c>
      <c r="J41">
        <v>7.9275221124793571</v>
      </c>
      <c r="K41">
        <v>-1.1412945861146806</v>
      </c>
      <c r="L41">
        <v>0.39761173919241405</v>
      </c>
      <c r="M41">
        <v>-35.726783313371911</v>
      </c>
      <c r="N41">
        <v>-4.1544791153865397</v>
      </c>
      <c r="O41">
        <v>7.6061873005873188</v>
      </c>
      <c r="P41">
        <v>-143.53352962806088</v>
      </c>
      <c r="Q41">
        <v>54.656808371372612</v>
      </c>
      <c r="R41">
        <v>366.06662230386394</v>
      </c>
      <c r="S41">
        <v>2.9491347111331989</v>
      </c>
      <c r="T41">
        <v>154.5552202963207</v>
      </c>
    </row>
    <row r="42" spans="1:20" x14ac:dyDescent="0.15">
      <c r="A42" t="s">
        <v>157</v>
      </c>
      <c r="B42">
        <v>5.2247366923036545</v>
      </c>
      <c r="C42">
        <v>-8.1784048495263999</v>
      </c>
      <c r="D42">
        <v>-0.6895871476444545</v>
      </c>
      <c r="E42">
        <v>8.4223226408803448E-2</v>
      </c>
      <c r="F42">
        <v>-3.0826789845470599</v>
      </c>
      <c r="G42">
        <v>-2.5287475919645765</v>
      </c>
      <c r="H42">
        <v>0.3607460831338915</v>
      </c>
      <c r="I42">
        <v>2.7664813477822667</v>
      </c>
      <c r="J42">
        <v>0.79120342346658856</v>
      </c>
      <c r="K42">
        <v>-0.80488467087739068</v>
      </c>
      <c r="L42">
        <v>7.4575511247158026E-3</v>
      </c>
      <c r="M42">
        <v>-0.56126421352005551</v>
      </c>
      <c r="N42">
        <v>8.0935456250676052E-2</v>
      </c>
      <c r="O42">
        <v>0.16367894185187612</v>
      </c>
      <c r="P42">
        <v>-6.5758852158411454</v>
      </c>
      <c r="Q42">
        <v>1.7789600436976369</v>
      </c>
      <c r="R42">
        <v>2.9491347111267219</v>
      </c>
      <c r="S42">
        <v>0.96359068248135593</v>
      </c>
      <c r="T42">
        <v>-0.20416669636690207</v>
      </c>
    </row>
    <row r="43" spans="1:20" x14ac:dyDescent="0.15">
      <c r="A43" t="s">
        <v>158</v>
      </c>
      <c r="B43">
        <v>39.585170122906803</v>
      </c>
      <c r="C43">
        <v>-67.740500129948856</v>
      </c>
      <c r="D43">
        <v>-1.8461435986608439</v>
      </c>
      <c r="E43">
        <v>-0.46391591429440615</v>
      </c>
      <c r="F43">
        <v>-7.9947101635133393</v>
      </c>
      <c r="G43">
        <v>-168.46713609002686</v>
      </c>
      <c r="H43">
        <v>3.3329490996242708</v>
      </c>
      <c r="I43">
        <v>7.5272642321526506</v>
      </c>
      <c r="J43">
        <v>1.9857645849310632</v>
      </c>
      <c r="K43">
        <v>0.20097581503958103</v>
      </c>
      <c r="L43">
        <v>0.13514164369630249</v>
      </c>
      <c r="M43">
        <v>-14.426130314609592</v>
      </c>
      <c r="N43">
        <v>-1.6426284424142887</v>
      </c>
      <c r="O43">
        <v>2.6605538071898138</v>
      </c>
      <c r="P43">
        <v>-52.872673587143659</v>
      </c>
      <c r="Q43">
        <v>20.71848545634866</v>
      </c>
      <c r="R43">
        <v>154.55522029633943</v>
      </c>
      <c r="S43">
        <v>-0.20416669636400345</v>
      </c>
      <c r="T43">
        <v>77.89040310419746</v>
      </c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3"/>
  <sheetViews>
    <sheetView workbookViewId="0">
      <selection activeCell="A3" sqref="A3"/>
    </sheetView>
  </sheetViews>
  <sheetFormatPr defaultRowHeight="13.5" x14ac:dyDescent="0.15"/>
  <sheetData>
    <row r="1" spans="1:20" x14ac:dyDescent="0.15">
      <c r="A1" t="s">
        <v>137</v>
      </c>
    </row>
    <row r="2" spans="1:20" x14ac:dyDescent="0.15">
      <c r="A2" t="s">
        <v>134</v>
      </c>
      <c r="B2" t="s">
        <v>140</v>
      </c>
      <c r="C2" t="s">
        <v>141</v>
      </c>
      <c r="D2" t="s">
        <v>142</v>
      </c>
      <c r="E2" t="s">
        <v>143</v>
      </c>
      <c r="F2" t="s">
        <v>144</v>
      </c>
      <c r="G2" t="s">
        <v>145</v>
      </c>
      <c r="H2" t="s">
        <v>146</v>
      </c>
      <c r="I2" t="s">
        <v>147</v>
      </c>
      <c r="J2" t="s">
        <v>148</v>
      </c>
      <c r="K2" t="s">
        <v>149</v>
      </c>
      <c r="L2" t="s">
        <v>150</v>
      </c>
      <c r="M2" t="s">
        <v>151</v>
      </c>
      <c r="N2" t="s">
        <v>152</v>
      </c>
      <c r="O2" t="s">
        <v>153</v>
      </c>
      <c r="P2" t="s">
        <v>154</v>
      </c>
      <c r="Q2" t="s">
        <v>155</v>
      </c>
      <c r="R2" t="s">
        <v>156</v>
      </c>
      <c r="S2" t="s">
        <v>157</v>
      </c>
      <c r="T2" t="s">
        <v>158</v>
      </c>
    </row>
    <row r="3" spans="1:20" x14ac:dyDescent="0.15">
      <c r="A3" t="s">
        <v>140</v>
      </c>
      <c r="B3">
        <v>18.183912576637301</v>
      </c>
      <c r="C3">
        <v>11.193226553487101</v>
      </c>
      <c r="D3">
        <v>-6.7029400555360699</v>
      </c>
      <c r="E3">
        <v>16.314326327037801</v>
      </c>
      <c r="F3">
        <v>2.07092966393596</v>
      </c>
      <c r="G3">
        <v>-4.1219773704938101</v>
      </c>
      <c r="H3">
        <v>2.8008481077230201</v>
      </c>
      <c r="I3">
        <v>1.2981355649239401</v>
      </c>
      <c r="J3">
        <v>-1.6247938290739901</v>
      </c>
      <c r="K3">
        <v>-0.225086737186872</v>
      </c>
      <c r="L3">
        <v>16.034074272268398</v>
      </c>
      <c r="M3">
        <v>7.9641609476209396</v>
      </c>
      <c r="N3">
        <v>7.8842511358789897</v>
      </c>
      <c r="O3">
        <v>6.5638819688954699</v>
      </c>
      <c r="P3">
        <v>8.2871974182046895</v>
      </c>
      <c r="Q3">
        <v>21.545303168675701</v>
      </c>
      <c r="R3">
        <v>-0.95591199292169704</v>
      </c>
      <c r="S3">
        <v>6.6807468717396998E-2</v>
      </c>
      <c r="T3">
        <v>-5.1310729124366796</v>
      </c>
    </row>
    <row r="4" spans="1:20" x14ac:dyDescent="0.15">
      <c r="A4" t="s">
        <v>141</v>
      </c>
      <c r="B4">
        <v>11.193226553487101</v>
      </c>
      <c r="C4">
        <v>11.6275150944627</v>
      </c>
      <c r="D4">
        <v>-11.989751560067001</v>
      </c>
      <c r="E4">
        <v>14.673584790984</v>
      </c>
      <c r="F4">
        <v>2.2662275476476799</v>
      </c>
      <c r="G4">
        <v>1.68851025007728</v>
      </c>
      <c r="H4">
        <v>8.1924338007409094</v>
      </c>
      <c r="I4">
        <v>0.116091078055111</v>
      </c>
      <c r="J4">
        <v>-2.34234177542855</v>
      </c>
      <c r="K4">
        <v>-8.7990750075367306</v>
      </c>
      <c r="L4">
        <v>17.791721746714</v>
      </c>
      <c r="M4">
        <v>19.169346517858699</v>
      </c>
      <c r="N4">
        <v>10.492718438492499</v>
      </c>
      <c r="O4">
        <v>4.9451455389706496</v>
      </c>
      <c r="P4">
        <v>2.7896534611629602</v>
      </c>
      <c r="Q4">
        <v>22.987419883170901</v>
      </c>
      <c r="R4">
        <v>5.4292295367405696</v>
      </c>
      <c r="S4">
        <v>0.59838408390435804</v>
      </c>
      <c r="T4">
        <v>-3.4655868938417398</v>
      </c>
    </row>
    <row r="5" spans="1:20" x14ac:dyDescent="0.15">
      <c r="A5" t="s">
        <v>142</v>
      </c>
      <c r="B5">
        <v>-6.7029400555360699</v>
      </c>
      <c r="C5">
        <v>-11.989751560067001</v>
      </c>
      <c r="D5">
        <v>37.070879995456899</v>
      </c>
      <c r="E5">
        <v>-21.783307554001102</v>
      </c>
      <c r="F5">
        <v>-1.6203777153119301</v>
      </c>
      <c r="G5">
        <v>-7.7957528611537601</v>
      </c>
      <c r="H5">
        <v>-33.363015249429097</v>
      </c>
      <c r="I5">
        <v>7.41203717686298</v>
      </c>
      <c r="J5">
        <v>9.2970691578262894</v>
      </c>
      <c r="K5">
        <v>21.807409445710299</v>
      </c>
      <c r="L5">
        <v>-10.089196324481801</v>
      </c>
      <c r="M5">
        <v>-19.958646052216299</v>
      </c>
      <c r="N5">
        <v>-22.856998208502901</v>
      </c>
      <c r="O5">
        <v>1.7728754927203101</v>
      </c>
      <c r="P5">
        <v>-2.0310012702970601</v>
      </c>
      <c r="Q5">
        <v>-32.482151807082602</v>
      </c>
      <c r="R5">
        <v>-9.6705656100111295</v>
      </c>
      <c r="S5">
        <v>-0.41425074540520601</v>
      </c>
      <c r="T5">
        <v>-1.09558541612867</v>
      </c>
    </row>
    <row r="6" spans="1:20" x14ac:dyDescent="0.15">
      <c r="A6" t="s">
        <v>143</v>
      </c>
      <c r="B6">
        <v>16.314326327037801</v>
      </c>
      <c r="C6">
        <v>14.673584790984</v>
      </c>
      <c r="D6">
        <v>-21.783307554001102</v>
      </c>
      <c r="E6">
        <v>67.265238687379394</v>
      </c>
      <c r="F6">
        <v>1.6107450733347499</v>
      </c>
      <c r="G6">
        <v>-6.0743496420514704</v>
      </c>
      <c r="H6">
        <v>28.084960519986002</v>
      </c>
      <c r="I6">
        <v>-6.1561873083269498</v>
      </c>
      <c r="J6">
        <v>-19.419157020611198</v>
      </c>
      <c r="K6">
        <v>-19.6364963711518</v>
      </c>
      <c r="L6">
        <v>45.698366613218397</v>
      </c>
      <c r="M6">
        <v>40.403311962805503</v>
      </c>
      <c r="N6">
        <v>40.760057742544298</v>
      </c>
      <c r="O6">
        <v>22.462253535956702</v>
      </c>
      <c r="P6">
        <v>9.16116884823637</v>
      </c>
      <c r="Q6">
        <v>41.2590502650188</v>
      </c>
      <c r="R6">
        <v>5.0309968137554497</v>
      </c>
      <c r="S6">
        <v>-0.68155019995519905</v>
      </c>
      <c r="T6">
        <v>-14.798983937340701</v>
      </c>
    </row>
    <row r="7" spans="1:20" x14ac:dyDescent="0.15">
      <c r="A7" t="s">
        <v>144</v>
      </c>
      <c r="B7">
        <v>2.07092966393596</v>
      </c>
      <c r="C7">
        <v>2.2662275476476799</v>
      </c>
      <c r="D7">
        <v>-1.6203777153119301</v>
      </c>
      <c r="E7">
        <v>1.6107450733347499</v>
      </c>
      <c r="F7">
        <v>2.07393772513077</v>
      </c>
      <c r="G7">
        <v>0.85268682669321805</v>
      </c>
      <c r="H7">
        <v>6.0584373918738601</v>
      </c>
      <c r="I7">
        <v>0.54421271690066098</v>
      </c>
      <c r="J7">
        <v>0.42854568570410301</v>
      </c>
      <c r="K7">
        <v>-2.1416177857903298</v>
      </c>
      <c r="L7">
        <v>1.5126693689994299</v>
      </c>
      <c r="M7">
        <v>3.0651824825127498</v>
      </c>
      <c r="N7">
        <v>5.14651550523919</v>
      </c>
      <c r="O7">
        <v>0.63000150410757105</v>
      </c>
      <c r="P7">
        <v>0.55283814389076202</v>
      </c>
      <c r="Q7">
        <v>4.9841497856288699</v>
      </c>
      <c r="R7">
        <v>1.1825866575771999</v>
      </c>
      <c r="S7">
        <v>1.450200509968</v>
      </c>
      <c r="T7">
        <v>-1.26651613468969E-2</v>
      </c>
    </row>
    <row r="8" spans="1:20" x14ac:dyDescent="0.15">
      <c r="A8" t="s">
        <v>145</v>
      </c>
      <c r="B8">
        <v>-4.1219773704938101</v>
      </c>
      <c r="C8">
        <v>1.68851025007728</v>
      </c>
      <c r="D8">
        <v>-7.7957528611537601</v>
      </c>
      <c r="E8">
        <v>-6.0743496420514704</v>
      </c>
      <c r="F8">
        <v>0.85268682669321805</v>
      </c>
      <c r="G8">
        <v>8.0818121180532696</v>
      </c>
      <c r="H8">
        <v>3.42438620293645</v>
      </c>
      <c r="I8">
        <v>4.6965538237712198E-2</v>
      </c>
      <c r="J8">
        <v>3.0378361034263199</v>
      </c>
      <c r="K8">
        <v>-6.1020978822002299</v>
      </c>
      <c r="L8">
        <v>-10.680517512693701</v>
      </c>
      <c r="M8">
        <v>1.2727253147887501</v>
      </c>
      <c r="N8">
        <v>-2.9961252548730499</v>
      </c>
      <c r="O8">
        <v>-6.0608136885399801</v>
      </c>
      <c r="P8">
        <v>-4.4644028551252202</v>
      </c>
      <c r="Q8">
        <v>2.5232425369059701</v>
      </c>
      <c r="R8">
        <v>5.6492780157368099</v>
      </c>
      <c r="S8">
        <v>0.77929955628113601</v>
      </c>
      <c r="T8">
        <v>5.9092359368072298</v>
      </c>
    </row>
    <row r="9" spans="1:20" x14ac:dyDescent="0.15">
      <c r="A9" t="s">
        <v>146</v>
      </c>
      <c r="B9">
        <v>2.8008481077230201</v>
      </c>
      <c r="C9">
        <v>8.1924338007409094</v>
      </c>
      <c r="D9">
        <v>-33.363015249429097</v>
      </c>
      <c r="E9">
        <v>28.084960519986002</v>
      </c>
      <c r="F9">
        <v>6.0584373918738601</v>
      </c>
      <c r="G9">
        <v>3.42438620293645</v>
      </c>
      <c r="H9">
        <v>59.2008655132922</v>
      </c>
      <c r="I9">
        <v>-9.6948961102027091</v>
      </c>
      <c r="J9">
        <v>-14.830892455973199</v>
      </c>
      <c r="K9">
        <v>-25.752191789924101</v>
      </c>
      <c r="L9">
        <v>19.1317933387636</v>
      </c>
      <c r="M9">
        <v>26.9696632679034</v>
      </c>
      <c r="N9">
        <v>47.2003292972229</v>
      </c>
      <c r="O9">
        <v>3.4360906753757399</v>
      </c>
      <c r="P9">
        <v>3.2364402362378799</v>
      </c>
      <c r="Q9">
        <v>32.368307571105902</v>
      </c>
      <c r="R9">
        <v>8.0543875854296694</v>
      </c>
      <c r="S9">
        <v>4.3357946419158502</v>
      </c>
      <c r="T9">
        <v>-3.6423797650710901</v>
      </c>
    </row>
    <row r="10" spans="1:20" x14ac:dyDescent="0.15">
      <c r="A10" t="s">
        <v>147</v>
      </c>
      <c r="B10">
        <v>1.2981355649239401</v>
      </c>
      <c r="C10">
        <v>0.116091078055111</v>
      </c>
      <c r="D10">
        <v>7.41203717686298</v>
      </c>
      <c r="E10">
        <v>-6.1561873083269498</v>
      </c>
      <c r="F10">
        <v>0.54421271690066098</v>
      </c>
      <c r="G10">
        <v>4.6965538237712198E-2</v>
      </c>
      <c r="H10">
        <v>-9.6948961102027091</v>
      </c>
      <c r="I10">
        <v>3.2337476902839302</v>
      </c>
      <c r="J10">
        <v>4.55843219255771</v>
      </c>
      <c r="K10">
        <v>4.7853255357761801</v>
      </c>
      <c r="L10">
        <v>-3.93898848828966</v>
      </c>
      <c r="M10">
        <v>-4.1362939532534</v>
      </c>
      <c r="N10">
        <v>-7.4835611953500996</v>
      </c>
      <c r="O10">
        <v>-0.36190064544800199</v>
      </c>
      <c r="P10">
        <v>-0.40162511168922599</v>
      </c>
      <c r="Q10">
        <v>-3.7209389405280402</v>
      </c>
      <c r="R10">
        <v>-0.89928854940988801</v>
      </c>
      <c r="S10">
        <v>0.34932397114918101</v>
      </c>
      <c r="T10">
        <v>1.0468278783749401</v>
      </c>
    </row>
    <row r="11" spans="1:20" x14ac:dyDescent="0.15">
      <c r="A11" t="s">
        <v>148</v>
      </c>
      <c r="B11">
        <v>-1.6247938290739901</v>
      </c>
      <c r="C11">
        <v>-2.34234177542855</v>
      </c>
      <c r="D11">
        <v>9.2970691578262894</v>
      </c>
      <c r="E11">
        <v>-19.419157020611198</v>
      </c>
      <c r="F11">
        <v>0.42854568570410301</v>
      </c>
      <c r="G11">
        <v>3.0378361034263199</v>
      </c>
      <c r="H11">
        <v>-14.830892455973199</v>
      </c>
      <c r="I11">
        <v>4.55843219255771</v>
      </c>
      <c r="J11">
        <v>16.298270860100601</v>
      </c>
      <c r="K11">
        <v>11.075738869634</v>
      </c>
      <c r="L11">
        <v>-19.708739829427799</v>
      </c>
      <c r="M11">
        <v>-16.298809692813201</v>
      </c>
      <c r="N11">
        <v>-31.245224390169099</v>
      </c>
      <c r="O11">
        <v>-21.464890337452399</v>
      </c>
      <c r="P11">
        <v>-3.1964927976180202</v>
      </c>
      <c r="Q11">
        <v>-13.903388657014601</v>
      </c>
      <c r="R11">
        <v>-1.57608959742363</v>
      </c>
      <c r="S11">
        <v>9.3445763820779307E-2</v>
      </c>
      <c r="T11">
        <v>6.30589480925783</v>
      </c>
    </row>
    <row r="12" spans="1:20" x14ac:dyDescent="0.15">
      <c r="A12" t="s">
        <v>149</v>
      </c>
      <c r="B12">
        <v>-0.225086737186872</v>
      </c>
      <c r="C12">
        <v>-8.7990750075367306</v>
      </c>
      <c r="D12">
        <v>21.807409445710299</v>
      </c>
      <c r="E12">
        <v>-19.6364963711518</v>
      </c>
      <c r="F12">
        <v>-2.1416177857903298</v>
      </c>
      <c r="G12">
        <v>-6.1020978822002299</v>
      </c>
      <c r="H12">
        <v>-25.752191789924101</v>
      </c>
      <c r="I12">
        <v>4.7853255357761801</v>
      </c>
      <c r="J12">
        <v>11.075738869634</v>
      </c>
      <c r="K12">
        <v>29.869758082611</v>
      </c>
      <c r="L12">
        <v>-18.3025835820861</v>
      </c>
      <c r="M12">
        <v>-30.123791761624201</v>
      </c>
      <c r="N12">
        <v>-27.689671570949098</v>
      </c>
      <c r="O12">
        <v>-9.3758718649749095</v>
      </c>
      <c r="P12">
        <v>-1.17841534326797</v>
      </c>
      <c r="Q12">
        <v>-33.321459687342397</v>
      </c>
      <c r="R12">
        <v>-10.9979512929309</v>
      </c>
      <c r="S12">
        <v>-1.9136803010561501</v>
      </c>
      <c r="T12">
        <v>3.0989378934155898</v>
      </c>
    </row>
    <row r="13" spans="1:20" x14ac:dyDescent="0.15">
      <c r="A13" t="s">
        <v>150</v>
      </c>
      <c r="B13">
        <v>16.034074272268398</v>
      </c>
      <c r="C13">
        <v>17.791721746714</v>
      </c>
      <c r="D13">
        <v>-10.089196324481801</v>
      </c>
      <c r="E13">
        <v>45.698366613218397</v>
      </c>
      <c r="F13">
        <v>1.5126693689994299</v>
      </c>
      <c r="G13">
        <v>-10.680517512693701</v>
      </c>
      <c r="H13">
        <v>19.1317933387636</v>
      </c>
      <c r="I13">
        <v>-3.93898848828966</v>
      </c>
      <c r="J13">
        <v>-19.708739829427799</v>
      </c>
      <c r="K13">
        <v>-18.3025835820861</v>
      </c>
      <c r="L13">
        <v>251.35696067969999</v>
      </c>
      <c r="M13">
        <v>73.0977504919572</v>
      </c>
      <c r="N13">
        <v>38.999601642710203</v>
      </c>
      <c r="O13">
        <v>27.620296599456498</v>
      </c>
      <c r="P13">
        <v>4.2458305381730996</v>
      </c>
      <c r="Q13">
        <v>36.594000594994</v>
      </c>
      <c r="R13">
        <v>9.1235006816640105</v>
      </c>
      <c r="S13">
        <v>-1.9264275305426299</v>
      </c>
      <c r="T13">
        <v>-26.073748373000299</v>
      </c>
    </row>
    <row r="14" spans="1:20" x14ac:dyDescent="0.15">
      <c r="A14" t="s">
        <v>151</v>
      </c>
      <c r="B14">
        <v>7.9641609476209396</v>
      </c>
      <c r="C14">
        <v>19.169346517858699</v>
      </c>
      <c r="D14">
        <v>-19.958646052216299</v>
      </c>
      <c r="E14">
        <v>40.403311962805503</v>
      </c>
      <c r="F14">
        <v>3.0651824825127498</v>
      </c>
      <c r="G14">
        <v>1.2727253147887501</v>
      </c>
      <c r="H14">
        <v>26.9696632679034</v>
      </c>
      <c r="I14">
        <v>-4.1362939532534</v>
      </c>
      <c r="J14">
        <v>-16.298809692813201</v>
      </c>
      <c r="K14">
        <v>-30.123791761624201</v>
      </c>
      <c r="L14">
        <v>73.0977504919572</v>
      </c>
      <c r="M14">
        <v>75.298655694248595</v>
      </c>
      <c r="N14">
        <v>40.396425319103599</v>
      </c>
      <c r="O14">
        <v>22.049856645859801</v>
      </c>
      <c r="P14">
        <v>-2.1601970406505902</v>
      </c>
      <c r="Q14">
        <v>41.862025632474001</v>
      </c>
      <c r="R14">
        <v>17.6129928564464</v>
      </c>
      <c r="S14">
        <v>0.68836399097588596</v>
      </c>
      <c r="T14">
        <v>-17.542036343695901</v>
      </c>
    </row>
    <row r="15" spans="1:20" x14ac:dyDescent="0.15">
      <c r="A15" t="s">
        <v>152</v>
      </c>
      <c r="B15">
        <v>7.8842511358789897</v>
      </c>
      <c r="C15">
        <v>10.492718438492499</v>
      </c>
      <c r="D15">
        <v>-22.856998208502901</v>
      </c>
      <c r="E15">
        <v>40.760057742544298</v>
      </c>
      <c r="F15">
        <v>5.14651550523919</v>
      </c>
      <c r="G15">
        <v>-2.9961252548730499</v>
      </c>
      <c r="H15">
        <v>47.2003292972229</v>
      </c>
      <c r="I15">
        <v>-7.4835611953500996</v>
      </c>
      <c r="J15">
        <v>-31.245224390169099</v>
      </c>
      <c r="K15">
        <v>-27.689671570949098</v>
      </c>
      <c r="L15">
        <v>38.999601642710203</v>
      </c>
      <c r="M15">
        <v>40.396425319103599</v>
      </c>
      <c r="N15">
        <v>78.552075016525706</v>
      </c>
      <c r="O15">
        <v>45.701494326335798</v>
      </c>
      <c r="P15">
        <v>7.0773523958953</v>
      </c>
      <c r="Q15">
        <v>39.971786877328697</v>
      </c>
      <c r="R15">
        <v>6.7481710843424203</v>
      </c>
      <c r="S15">
        <v>4.0894097594289196</v>
      </c>
      <c r="T15">
        <v>-11.9404128380959</v>
      </c>
    </row>
    <row r="16" spans="1:20" x14ac:dyDescent="0.15">
      <c r="A16" t="s">
        <v>153</v>
      </c>
      <c r="B16">
        <v>6.5638819688954699</v>
      </c>
      <c r="C16">
        <v>4.9451455389706496</v>
      </c>
      <c r="D16">
        <v>1.7728754927203101</v>
      </c>
      <c r="E16">
        <v>22.462253535956702</v>
      </c>
      <c r="F16">
        <v>0.63000150410757105</v>
      </c>
      <c r="G16">
        <v>-6.0608136885399801</v>
      </c>
      <c r="H16">
        <v>3.4360906753757399</v>
      </c>
      <c r="I16">
        <v>-0.36190064544800199</v>
      </c>
      <c r="J16">
        <v>-21.464890337452399</v>
      </c>
      <c r="K16">
        <v>-9.3758718649749095</v>
      </c>
      <c r="L16">
        <v>27.620296599456498</v>
      </c>
      <c r="M16">
        <v>22.049856645859801</v>
      </c>
      <c r="N16">
        <v>45.701494326335798</v>
      </c>
      <c r="O16">
        <v>45.510712463996597</v>
      </c>
      <c r="P16">
        <v>5.2302835299399701</v>
      </c>
      <c r="Q16">
        <v>17.667554317402001</v>
      </c>
      <c r="R16">
        <v>0.81638533941506897</v>
      </c>
      <c r="S16">
        <v>1.0025820045870799</v>
      </c>
      <c r="T16">
        <v>-10.081783344306899</v>
      </c>
    </row>
    <row r="17" spans="1:20" x14ac:dyDescent="0.15">
      <c r="A17" t="s">
        <v>154</v>
      </c>
      <c r="B17">
        <v>8.2871974182046895</v>
      </c>
      <c r="C17">
        <v>2.7896534611629602</v>
      </c>
      <c r="D17">
        <v>-2.0310012702970601</v>
      </c>
      <c r="E17">
        <v>9.16116884823637</v>
      </c>
      <c r="F17">
        <v>0.55283814389076202</v>
      </c>
      <c r="G17">
        <v>-4.4644028551252202</v>
      </c>
      <c r="H17">
        <v>3.2364402362378799</v>
      </c>
      <c r="I17">
        <v>-0.40162511168922599</v>
      </c>
      <c r="J17">
        <v>-3.1964927976180202</v>
      </c>
      <c r="K17">
        <v>-1.17841534326797</v>
      </c>
      <c r="L17">
        <v>4.2458305381730996</v>
      </c>
      <c r="M17">
        <v>-2.1601970406505902</v>
      </c>
      <c r="N17">
        <v>7.0773523958953</v>
      </c>
      <c r="O17">
        <v>5.2302835299399701</v>
      </c>
      <c r="P17">
        <v>6.9276113914450601</v>
      </c>
      <c r="Q17">
        <v>10.891558879278</v>
      </c>
      <c r="R17">
        <v>-3.37992874978073</v>
      </c>
      <c r="S17">
        <v>0.105493199173247</v>
      </c>
      <c r="T17">
        <v>-3.0104868348955298</v>
      </c>
    </row>
    <row r="18" spans="1:20" x14ac:dyDescent="0.15">
      <c r="A18" t="s">
        <v>155</v>
      </c>
      <c r="B18">
        <v>21.545303168675701</v>
      </c>
      <c r="C18">
        <v>22.987419883170901</v>
      </c>
      <c r="D18">
        <v>-32.482151807082602</v>
      </c>
      <c r="E18">
        <v>41.2590502650188</v>
      </c>
      <c r="F18">
        <v>4.9841497856288699</v>
      </c>
      <c r="G18">
        <v>2.5232425369059701</v>
      </c>
      <c r="H18">
        <v>32.368307571105902</v>
      </c>
      <c r="I18">
        <v>-3.7209389405280402</v>
      </c>
      <c r="J18">
        <v>-13.903388657014601</v>
      </c>
      <c r="K18">
        <v>-33.321459687342397</v>
      </c>
      <c r="L18">
        <v>36.594000594994</v>
      </c>
      <c r="M18">
        <v>41.862025632474001</v>
      </c>
      <c r="N18">
        <v>39.971786877328697</v>
      </c>
      <c r="O18">
        <v>17.667554317402001</v>
      </c>
      <c r="P18">
        <v>10.891558879278</v>
      </c>
      <c r="Q18">
        <v>62.714345696610003</v>
      </c>
      <c r="R18">
        <v>11.205860354468401</v>
      </c>
      <c r="S18">
        <v>2.0617043434634499</v>
      </c>
      <c r="T18">
        <v>-8.6968094118735095</v>
      </c>
    </row>
    <row r="19" spans="1:20" x14ac:dyDescent="0.15">
      <c r="A19" t="s">
        <v>156</v>
      </c>
      <c r="B19">
        <v>-0.95591199292169704</v>
      </c>
      <c r="C19">
        <v>5.4292295367405696</v>
      </c>
      <c r="D19">
        <v>-9.6705656100111295</v>
      </c>
      <c r="E19">
        <v>5.0309968137554497</v>
      </c>
      <c r="F19">
        <v>1.1825866575771999</v>
      </c>
      <c r="G19">
        <v>5.6492780157368099</v>
      </c>
      <c r="H19">
        <v>8.0543875854296694</v>
      </c>
      <c r="I19">
        <v>-0.89928854940988801</v>
      </c>
      <c r="J19">
        <v>-1.57608959742363</v>
      </c>
      <c r="K19">
        <v>-10.9979512929309</v>
      </c>
      <c r="L19">
        <v>9.1235006816640105</v>
      </c>
      <c r="M19">
        <v>17.6129928564464</v>
      </c>
      <c r="N19">
        <v>6.7481710843424203</v>
      </c>
      <c r="O19">
        <v>0.81638533941506897</v>
      </c>
      <c r="P19">
        <v>-3.37992874978073</v>
      </c>
      <c r="Q19">
        <v>11.205860354468401</v>
      </c>
      <c r="R19">
        <v>7.7165842817482897</v>
      </c>
      <c r="S19">
        <v>0.70830603123501001</v>
      </c>
      <c r="T19">
        <v>-5.0618084788834297E-2</v>
      </c>
    </row>
    <row r="20" spans="1:20" x14ac:dyDescent="0.15">
      <c r="A20" t="s">
        <v>157</v>
      </c>
      <c r="B20">
        <v>6.6807468717396998E-2</v>
      </c>
      <c r="C20">
        <v>0.59838408390435804</v>
      </c>
      <c r="D20">
        <v>-0.41425074540520601</v>
      </c>
      <c r="E20">
        <v>-0.68155019995519905</v>
      </c>
      <c r="F20">
        <v>1.450200509968</v>
      </c>
      <c r="G20">
        <v>0.77929955628113601</v>
      </c>
      <c r="H20">
        <v>4.3357946419158502</v>
      </c>
      <c r="I20">
        <v>0.34932397114918101</v>
      </c>
      <c r="J20">
        <v>9.3445763820779307E-2</v>
      </c>
      <c r="K20">
        <v>-1.9136803010561501</v>
      </c>
      <c r="L20">
        <v>-1.9264275305426299</v>
      </c>
      <c r="M20">
        <v>0.68836399097588596</v>
      </c>
      <c r="N20">
        <v>4.0894097594289196</v>
      </c>
      <c r="O20">
        <v>1.0025820045870799</v>
      </c>
      <c r="P20">
        <v>0.105493199173247</v>
      </c>
      <c r="Q20">
        <v>2.0617043434634499</v>
      </c>
      <c r="R20">
        <v>0.70830603123501001</v>
      </c>
      <c r="S20">
        <v>2.57236376229244</v>
      </c>
      <c r="T20">
        <v>0.38840048789090298</v>
      </c>
    </row>
    <row r="21" spans="1:20" x14ac:dyDescent="0.15">
      <c r="A21" t="s">
        <v>158</v>
      </c>
      <c r="B21">
        <v>-5.1310729124366796</v>
      </c>
      <c r="C21">
        <v>-3.4655868938417398</v>
      </c>
      <c r="D21">
        <v>-1.09558541612867</v>
      </c>
      <c r="E21">
        <v>-14.798983937340701</v>
      </c>
      <c r="F21">
        <v>-1.26651613468969E-2</v>
      </c>
      <c r="G21">
        <v>5.9092359368072298</v>
      </c>
      <c r="H21">
        <v>-3.6423797650710901</v>
      </c>
      <c r="I21">
        <v>1.0468278783749401</v>
      </c>
      <c r="J21">
        <v>6.30589480925783</v>
      </c>
      <c r="K21">
        <v>3.0989378934155898</v>
      </c>
      <c r="L21">
        <v>-26.073748373000299</v>
      </c>
      <c r="M21">
        <v>-17.542036343695901</v>
      </c>
      <c r="N21">
        <v>-11.9404128380959</v>
      </c>
      <c r="O21">
        <v>-10.081783344306899</v>
      </c>
      <c r="P21">
        <v>-3.0104868348955298</v>
      </c>
      <c r="Q21">
        <v>-8.6968094118735095</v>
      </c>
      <c r="R21">
        <v>-5.0618084788834297E-2</v>
      </c>
      <c r="S21">
        <v>0.38840048789090298</v>
      </c>
      <c r="T21">
        <v>8.9758763273353406</v>
      </c>
    </row>
    <row r="23" spans="1:20" x14ac:dyDescent="0.15">
      <c r="A23" t="s">
        <v>159</v>
      </c>
    </row>
    <row r="24" spans="1:20" x14ac:dyDescent="0.15">
      <c r="A24" t="s">
        <v>134</v>
      </c>
      <c r="B24" t="s">
        <v>140</v>
      </c>
      <c r="C24" t="s">
        <v>141</v>
      </c>
      <c r="D24" t="s">
        <v>142</v>
      </c>
      <c r="E24" t="s">
        <v>143</v>
      </c>
      <c r="F24" t="s">
        <v>144</v>
      </c>
      <c r="G24" t="s">
        <v>145</v>
      </c>
      <c r="H24" t="s">
        <v>146</v>
      </c>
      <c r="I24" t="s">
        <v>147</v>
      </c>
      <c r="J24" t="s">
        <v>148</v>
      </c>
      <c r="K24" t="s">
        <v>149</v>
      </c>
      <c r="L24" t="s">
        <v>150</v>
      </c>
      <c r="M24" t="s">
        <v>151</v>
      </c>
      <c r="N24" t="s">
        <v>152</v>
      </c>
      <c r="O24" t="s">
        <v>153</v>
      </c>
      <c r="P24" t="s">
        <v>154</v>
      </c>
      <c r="Q24" t="s">
        <v>155</v>
      </c>
      <c r="R24" t="s">
        <v>156</v>
      </c>
      <c r="S24" t="s">
        <v>157</v>
      </c>
      <c r="T24" t="s">
        <v>158</v>
      </c>
    </row>
    <row r="25" spans="1:20" x14ac:dyDescent="0.15">
      <c r="A25" t="s">
        <v>140</v>
      </c>
      <c r="B25">
        <f t="array" ref="B25:T43">MINVERSE(B3:T21)</f>
        <v>415.50008144041152</v>
      </c>
      <c r="C25">
        <v>-417.85627402377247</v>
      </c>
      <c r="D25">
        <v>45.403811636686285</v>
      </c>
      <c r="E25">
        <v>0.33676818414875576</v>
      </c>
      <c r="F25">
        <v>-93.621981601636136</v>
      </c>
      <c r="G25">
        <v>-445.68982783421433</v>
      </c>
      <c r="H25">
        <v>-1.2210998397804866</v>
      </c>
      <c r="I25">
        <v>-74.875220455787641</v>
      </c>
      <c r="J25">
        <v>29.529974180462833</v>
      </c>
      <c r="K25">
        <v>-95.20491678786334</v>
      </c>
      <c r="L25">
        <v>0.40176820652865808</v>
      </c>
      <c r="M25">
        <v>-55.320578314202557</v>
      </c>
      <c r="N25">
        <v>31.710886943086706</v>
      </c>
      <c r="O25">
        <v>-17.446265329382566</v>
      </c>
      <c r="P25">
        <v>-330.09781372462868</v>
      </c>
      <c r="Q25">
        <v>29.005982112567803</v>
      </c>
      <c r="R25">
        <v>519.87984367208048</v>
      </c>
      <c r="S25">
        <v>5.5959898223656594</v>
      </c>
      <c r="T25">
        <v>231.65036013868226</v>
      </c>
    </row>
    <row r="26" spans="1:20" x14ac:dyDescent="0.15">
      <c r="A26" t="s">
        <v>141</v>
      </c>
      <c r="B26">
        <v>-417.85627402378645</v>
      </c>
      <c r="C26">
        <v>447.27312252075762</v>
      </c>
      <c r="D26">
        <v>-42.351917831897964</v>
      </c>
      <c r="E26">
        <v>-8.6659837838053977E-2</v>
      </c>
      <c r="F26">
        <v>91.333900598823902</v>
      </c>
      <c r="G26">
        <v>479.62445465180213</v>
      </c>
      <c r="H26">
        <v>3.3444958867349293</v>
      </c>
      <c r="I26">
        <v>67.871959268509826</v>
      </c>
      <c r="J26">
        <v>-27.677948628503163</v>
      </c>
      <c r="K26">
        <v>81.78465888945216</v>
      </c>
      <c r="L26">
        <v>-0.40484877451472501</v>
      </c>
      <c r="M26">
        <v>57.118652239154564</v>
      </c>
      <c r="N26">
        <v>-33.406263541966361</v>
      </c>
      <c r="O26">
        <v>19.966529371841343</v>
      </c>
      <c r="P26">
        <v>313.6144316057804</v>
      </c>
      <c r="Q26">
        <v>-35.41857858470572</v>
      </c>
      <c r="R26">
        <v>-584.28387970533765</v>
      </c>
      <c r="S26">
        <v>-6.5182427190887955</v>
      </c>
      <c r="T26">
        <v>-246.17225357214636</v>
      </c>
    </row>
    <row r="27" spans="1:20" x14ac:dyDescent="0.15">
      <c r="A27" t="s">
        <v>142</v>
      </c>
      <c r="B27">
        <v>45.403811636571334</v>
      </c>
      <c r="C27">
        <v>-42.351917831780916</v>
      </c>
      <c r="D27">
        <v>23.122201250557669</v>
      </c>
      <c r="E27">
        <v>9.2672464956438411E-2</v>
      </c>
      <c r="F27">
        <v>-25.710610419000872</v>
      </c>
      <c r="G27">
        <v>-67.494234756647913</v>
      </c>
      <c r="H27">
        <v>2.4502979047229925</v>
      </c>
      <c r="I27">
        <v>-38.918401292046987</v>
      </c>
      <c r="J27">
        <v>0.55043062023229239</v>
      </c>
      <c r="K27">
        <v>2.3901571746848491</v>
      </c>
      <c r="L27">
        <v>0.10043800586351689</v>
      </c>
      <c r="M27">
        <v>-3.9819623270140996</v>
      </c>
      <c r="N27">
        <v>5.2810684810489796</v>
      </c>
      <c r="O27">
        <v>-4.7208197845334521</v>
      </c>
      <c r="P27">
        <v>26.693751194868657</v>
      </c>
      <c r="Q27">
        <v>-6.6864795009914975</v>
      </c>
      <c r="R27">
        <v>140.61468751471494</v>
      </c>
      <c r="S27">
        <v>1.5393053468072959</v>
      </c>
      <c r="T27">
        <v>58.731009478468344</v>
      </c>
    </row>
    <row r="28" spans="1:20" x14ac:dyDescent="0.15">
      <c r="A28" t="s">
        <v>143</v>
      </c>
      <c r="B28">
        <v>0.33676818414884796</v>
      </c>
      <c r="C28">
        <v>-8.665983783815423E-2</v>
      </c>
      <c r="D28">
        <v>9.2672464956509576E-2</v>
      </c>
      <c r="E28">
        <v>6.0445535410773875E-2</v>
      </c>
      <c r="F28">
        <v>-0.450564804098112</v>
      </c>
      <c r="G28">
        <v>-2.0935961618125805</v>
      </c>
      <c r="H28">
        <v>-0.15663812866272253</v>
      </c>
      <c r="I28">
        <v>0.14872799913204596</v>
      </c>
      <c r="J28">
        <v>8.863993933210218E-2</v>
      </c>
      <c r="K28">
        <v>-0.22714780967013068</v>
      </c>
      <c r="L28">
        <v>3.1259649429388301E-3</v>
      </c>
      <c r="M28">
        <v>-0.13331864077702307</v>
      </c>
      <c r="N28">
        <v>0.35514031233425758</v>
      </c>
      <c r="O28">
        <v>-0.30885800459758822</v>
      </c>
      <c r="P28">
        <v>-0.25589390251186456</v>
      </c>
      <c r="Q28">
        <v>-0.10771548546883498</v>
      </c>
      <c r="R28">
        <v>1.7295819699929835</v>
      </c>
      <c r="S28">
        <v>2.4040052120243252E-2</v>
      </c>
      <c r="T28">
        <v>1.27551581400335</v>
      </c>
    </row>
    <row r="29" spans="1:20" x14ac:dyDescent="0.15">
      <c r="A29" t="s">
        <v>144</v>
      </c>
      <c r="B29">
        <v>-93.621981601514975</v>
      </c>
      <c r="C29">
        <v>91.333900598693305</v>
      </c>
      <c r="D29">
        <v>-25.710610419008056</v>
      </c>
      <c r="E29">
        <v>-0.45056480409795824</v>
      </c>
      <c r="F29">
        <v>96.960906407041364</v>
      </c>
      <c r="G29">
        <v>113.68888412390336</v>
      </c>
      <c r="H29">
        <v>-13.12931667812046</v>
      </c>
      <c r="I29">
        <v>-11.045217374749676</v>
      </c>
      <c r="J29">
        <v>-6.526788860226679</v>
      </c>
      <c r="K29">
        <v>10.772045225134315</v>
      </c>
      <c r="L29">
        <v>-0.23911965499896076</v>
      </c>
      <c r="M29">
        <v>8.599384611973754</v>
      </c>
      <c r="N29">
        <v>-14.094154591213027</v>
      </c>
      <c r="O29">
        <v>10.75291270747717</v>
      </c>
      <c r="P29">
        <v>16.390974106281494</v>
      </c>
      <c r="Q29">
        <v>2.9273141641807445</v>
      </c>
      <c r="R29">
        <v>-184.83405569116965</v>
      </c>
      <c r="S29">
        <v>-4.1392593678008982</v>
      </c>
      <c r="T29">
        <v>-83.108650451321225</v>
      </c>
    </row>
    <row r="30" spans="1:20" x14ac:dyDescent="0.15">
      <c r="A30" t="s">
        <v>145</v>
      </c>
      <c r="B30">
        <v>-445.68982783427026</v>
      </c>
      <c r="C30">
        <v>479.62445465189171</v>
      </c>
      <c r="D30">
        <v>-67.494234756806136</v>
      </c>
      <c r="E30">
        <v>-2.0935961618134824</v>
      </c>
      <c r="F30">
        <v>113.68888412412335</v>
      </c>
      <c r="G30">
        <v>1454.3178591300195</v>
      </c>
      <c r="H30">
        <v>12.57340342747051</v>
      </c>
      <c r="I30">
        <v>95.999377862701408</v>
      </c>
      <c r="J30">
        <v>-30.075080124418349</v>
      </c>
      <c r="K30">
        <v>71.559663713498807</v>
      </c>
      <c r="L30">
        <v>-0.60884715523515209</v>
      </c>
      <c r="M30">
        <v>126.76185596494038</v>
      </c>
      <c r="N30">
        <v>-59.052905485715364</v>
      </c>
      <c r="O30">
        <v>41.933463408021417</v>
      </c>
      <c r="P30">
        <v>291.58127096374994</v>
      </c>
      <c r="Q30">
        <v>-37.675140115288066</v>
      </c>
      <c r="R30">
        <v>-1528.5934138970208</v>
      </c>
      <c r="S30">
        <v>4.2572312555688834</v>
      </c>
      <c r="T30">
        <v>-781.24239931319664</v>
      </c>
    </row>
    <row r="31" spans="1:20" x14ac:dyDescent="0.15">
      <c r="A31" t="s">
        <v>146</v>
      </c>
      <c r="B31">
        <v>-1.221099839807682</v>
      </c>
      <c r="C31">
        <v>3.3444958867622865</v>
      </c>
      <c r="D31">
        <v>2.4502979047202191</v>
      </c>
      <c r="E31">
        <v>-0.15663812866269711</v>
      </c>
      <c r="F31">
        <v>-13.129316678114471</v>
      </c>
      <c r="G31">
        <v>12.573403427473663</v>
      </c>
      <c r="H31">
        <v>8.2636873492501834</v>
      </c>
      <c r="I31">
        <v>5.2621178939233841</v>
      </c>
      <c r="J31">
        <v>0.59431861639987549</v>
      </c>
      <c r="K31">
        <v>1.1364291049372388</v>
      </c>
      <c r="L31">
        <v>-6.3410728315844538E-3</v>
      </c>
      <c r="M31">
        <v>1.7922711374738887</v>
      </c>
      <c r="N31">
        <v>-6.3384528772569686</v>
      </c>
      <c r="O31">
        <v>6.404468823952401</v>
      </c>
      <c r="P31">
        <v>9.6782567875964887</v>
      </c>
      <c r="Q31">
        <v>-2.2854606912537352</v>
      </c>
      <c r="R31">
        <v>-4.4256116942524866</v>
      </c>
      <c r="S31">
        <v>-0.49931924233097835</v>
      </c>
      <c r="T31">
        <v>-2.4580346101916248</v>
      </c>
    </row>
    <row r="32" spans="1:20" x14ac:dyDescent="0.15">
      <c r="A32" t="s">
        <v>147</v>
      </c>
      <c r="B32">
        <v>-74.875220455621459</v>
      </c>
      <c r="C32">
        <v>67.871959268345449</v>
      </c>
      <c r="D32">
        <v>-38.918401292054952</v>
      </c>
      <c r="E32">
        <v>0.14872799913201495</v>
      </c>
      <c r="F32">
        <v>-11.045217374751704</v>
      </c>
      <c r="G32">
        <v>95.999377862538879</v>
      </c>
      <c r="H32">
        <v>5.2621178939187851</v>
      </c>
      <c r="I32">
        <v>124.51718636271464</v>
      </c>
      <c r="J32">
        <v>-6.9682035769054105</v>
      </c>
      <c r="K32">
        <v>-3.5361159604946595</v>
      </c>
      <c r="L32">
        <v>-0.11806195495468616</v>
      </c>
      <c r="M32">
        <v>5.8479991228541577</v>
      </c>
      <c r="N32">
        <v>-3.200488012610045</v>
      </c>
      <c r="O32">
        <v>-0.32722805274215949</v>
      </c>
      <c r="P32">
        <v>-40.193437317084168</v>
      </c>
      <c r="Q32">
        <v>10.368017565235222</v>
      </c>
      <c r="R32">
        <v>-215.4140917749387</v>
      </c>
      <c r="S32">
        <v>-1.473833422009394</v>
      </c>
      <c r="T32">
        <v>-88.714238220082208</v>
      </c>
    </row>
    <row r="33" spans="1:20" x14ac:dyDescent="0.15">
      <c r="A33" t="s">
        <v>148</v>
      </c>
      <c r="B33">
        <v>29.529974180487976</v>
      </c>
      <c r="C33">
        <v>-27.677948628528302</v>
      </c>
      <c r="D33">
        <v>0.5504306202441912</v>
      </c>
      <c r="E33">
        <v>8.8639939332165407E-2</v>
      </c>
      <c r="F33">
        <v>-6.5267888602408055</v>
      </c>
      <c r="G33">
        <v>-30.07508012447115</v>
      </c>
      <c r="H33">
        <v>0.59431861640129446</v>
      </c>
      <c r="I33">
        <v>-6.9682035769239121</v>
      </c>
      <c r="J33">
        <v>8.9230203979515377</v>
      </c>
      <c r="K33">
        <v>-10.520598012791851</v>
      </c>
      <c r="L33">
        <v>5.1653226975303702E-2</v>
      </c>
      <c r="M33">
        <v>-3.6393483349753852</v>
      </c>
      <c r="N33">
        <v>1.2509415509309918</v>
      </c>
      <c r="O33">
        <v>2.7261782480013355</v>
      </c>
      <c r="P33">
        <v>-36.330321659478933</v>
      </c>
      <c r="Q33">
        <v>3.3757451566804222</v>
      </c>
      <c r="R33">
        <v>18.312640794071616</v>
      </c>
      <c r="S33">
        <v>2.2907267440416341E-2</v>
      </c>
      <c r="T33">
        <v>13.567292194777883</v>
      </c>
    </row>
    <row r="34" spans="1:20" x14ac:dyDescent="0.15">
      <c r="A34" t="s">
        <v>149</v>
      </c>
      <c r="B34">
        <v>-95.204916787950395</v>
      </c>
      <c r="C34">
        <v>81.784658889536644</v>
      </c>
      <c r="D34">
        <v>2.3901571746492247</v>
      </c>
      <c r="E34">
        <v>-0.22714780967017634</v>
      </c>
      <c r="F34">
        <v>10.772045225174491</v>
      </c>
      <c r="G34">
        <v>71.559663713632972</v>
      </c>
      <c r="H34">
        <v>1.1364291049308715</v>
      </c>
      <c r="I34">
        <v>-3.5361159604346741</v>
      </c>
      <c r="J34">
        <v>-10.520598012793524</v>
      </c>
      <c r="K34">
        <v>41.14775484051512</v>
      </c>
      <c r="L34">
        <v>-4.987459802858888E-2</v>
      </c>
      <c r="M34">
        <v>13.565159914462011</v>
      </c>
      <c r="N34">
        <v>-5.0167471282200919</v>
      </c>
      <c r="O34">
        <v>0.24769878393725944</v>
      </c>
      <c r="P34">
        <v>138.35456581056982</v>
      </c>
      <c r="Q34">
        <v>-10.795540567857056</v>
      </c>
      <c r="R34">
        <v>-15.743878044867726</v>
      </c>
      <c r="S34">
        <v>0.14603611495066424</v>
      </c>
      <c r="T34">
        <v>-20.147669780469567</v>
      </c>
    </row>
    <row r="35" spans="1:20" x14ac:dyDescent="0.15">
      <c r="A35" t="s">
        <v>150</v>
      </c>
      <c r="B35">
        <v>0.40176820652844214</v>
      </c>
      <c r="C35">
        <v>-0.40484877451449164</v>
      </c>
      <c r="D35">
        <v>0.10043800586359815</v>
      </c>
      <c r="E35">
        <v>3.1259649429388196E-3</v>
      </c>
      <c r="F35">
        <v>-0.23911965499904964</v>
      </c>
      <c r="G35">
        <v>-0.60884715523474786</v>
      </c>
      <c r="H35">
        <v>-6.3410728315642564E-3</v>
      </c>
      <c r="I35">
        <v>-0.11806195495476753</v>
      </c>
      <c r="J35">
        <v>5.1653226975257621E-2</v>
      </c>
      <c r="K35">
        <v>-4.9874598028461253E-2</v>
      </c>
      <c r="L35">
        <v>7.3325930911425632E-3</v>
      </c>
      <c r="M35">
        <v>-6.1973503752186292E-2</v>
      </c>
      <c r="N35">
        <v>8.4553637037379753E-2</v>
      </c>
      <c r="O35">
        <v>-5.8450099256438237E-2</v>
      </c>
      <c r="P35">
        <v>-0.15228495766066366</v>
      </c>
      <c r="Q35">
        <v>1.2899888842561845E-2</v>
      </c>
      <c r="R35">
        <v>0.85356900659883961</v>
      </c>
      <c r="S35">
        <v>1.9291127921687697E-2</v>
      </c>
      <c r="T35">
        <v>0.39580630893119945</v>
      </c>
    </row>
    <row r="36" spans="1:20" x14ac:dyDescent="0.15">
      <c r="A36" t="s">
        <v>151</v>
      </c>
      <c r="B36">
        <v>-55.320578314233813</v>
      </c>
      <c r="C36">
        <v>57.118652239188087</v>
      </c>
      <c r="D36">
        <v>-3.9819623270356987</v>
      </c>
      <c r="E36">
        <v>-0.13331864077711042</v>
      </c>
      <c r="F36">
        <v>8.5993846120014297</v>
      </c>
      <c r="G36">
        <v>126.76185596497962</v>
      </c>
      <c r="H36">
        <v>1.7922711374722435</v>
      </c>
      <c r="I36">
        <v>5.8479991228829711</v>
      </c>
      <c r="J36">
        <v>-3.6393483349721314</v>
      </c>
      <c r="K36">
        <v>13.565159914452719</v>
      </c>
      <c r="L36">
        <v>-6.1973503752255084E-2</v>
      </c>
      <c r="M36">
        <v>14.472247172577866</v>
      </c>
      <c r="N36">
        <v>-5.7264151280125759</v>
      </c>
      <c r="O36">
        <v>3.7415978044824914</v>
      </c>
      <c r="P36">
        <v>56.228445728231186</v>
      </c>
      <c r="Q36">
        <v>-7.0757957661153688</v>
      </c>
      <c r="R36">
        <v>-122.54422914174488</v>
      </c>
      <c r="S36">
        <v>0.49761879423932837</v>
      </c>
      <c r="T36">
        <v>-59.819635086698632</v>
      </c>
    </row>
    <row r="37" spans="1:20" x14ac:dyDescent="0.15">
      <c r="A37" t="s">
        <v>152</v>
      </c>
      <c r="B37">
        <v>31.710886943082407</v>
      </c>
      <c r="C37">
        <v>-33.406263541959696</v>
      </c>
      <c r="D37">
        <v>5.2810684810551045</v>
      </c>
      <c r="E37">
        <v>0.35514031233418208</v>
      </c>
      <c r="F37">
        <v>-14.094154591221212</v>
      </c>
      <c r="G37">
        <v>-59.052905485649617</v>
      </c>
      <c r="H37">
        <v>-6.3384528772552109</v>
      </c>
      <c r="I37">
        <v>-3.2004880126165265</v>
      </c>
      <c r="J37">
        <v>1.2509415509280415</v>
      </c>
      <c r="K37">
        <v>-5.0167471282148277</v>
      </c>
      <c r="L37">
        <v>8.4553637037377991E-2</v>
      </c>
      <c r="M37">
        <v>-5.7264151280057343</v>
      </c>
      <c r="N37">
        <v>12.746661386371485</v>
      </c>
      <c r="O37">
        <v>-11.760832126592216</v>
      </c>
      <c r="P37">
        <v>-17.692276465223202</v>
      </c>
      <c r="Q37">
        <v>1.8687579281660034</v>
      </c>
      <c r="R37">
        <v>71.232188289057774</v>
      </c>
      <c r="S37">
        <v>1.6181518283181524</v>
      </c>
      <c r="T37">
        <v>32.980587574628231</v>
      </c>
    </row>
    <row r="38" spans="1:20" x14ac:dyDescent="0.15">
      <c r="A38" t="s">
        <v>153</v>
      </c>
      <c r="B38">
        <v>-17.446265329367861</v>
      </c>
      <c r="C38">
        <v>19.966529371824205</v>
      </c>
      <c r="D38">
        <v>-4.7208197845340463</v>
      </c>
      <c r="E38">
        <v>-0.30885800459748575</v>
      </c>
      <c r="F38">
        <v>10.752912707478757</v>
      </c>
      <c r="G38">
        <v>41.933463407934575</v>
      </c>
      <c r="H38">
        <v>6.4044688239512837</v>
      </c>
      <c r="I38">
        <v>-0.32722805274402283</v>
      </c>
      <c r="J38">
        <v>2.7261782480040671</v>
      </c>
      <c r="K38">
        <v>0.24769878393322808</v>
      </c>
      <c r="L38">
        <v>-5.8450099256416276E-2</v>
      </c>
      <c r="M38">
        <v>3.7415978044745293</v>
      </c>
      <c r="N38">
        <v>-11.760832126590827</v>
      </c>
      <c r="O38">
        <v>12.603807523176842</v>
      </c>
      <c r="P38">
        <v>1.2380139623811717</v>
      </c>
      <c r="Q38">
        <v>-0.36080940632484393</v>
      </c>
      <c r="R38">
        <v>-58.552743967395628</v>
      </c>
      <c r="S38">
        <v>-1.6128590326900361</v>
      </c>
      <c r="T38">
        <v>-24.84544068170996</v>
      </c>
    </row>
    <row r="39" spans="1:20" x14ac:dyDescent="0.15">
      <c r="A39" t="s">
        <v>154</v>
      </c>
      <c r="B39">
        <v>-330.09781372509138</v>
      </c>
      <c r="C39">
        <v>313.6144316062385</v>
      </c>
      <c r="D39">
        <v>26.693751194724467</v>
      </c>
      <c r="E39">
        <v>-0.25589390251216898</v>
      </c>
      <c r="F39">
        <v>16.390974106457499</v>
      </c>
      <c r="G39">
        <v>291.58127096440467</v>
      </c>
      <c r="H39">
        <v>9.6782567875759238</v>
      </c>
      <c r="I39">
        <v>-40.193437316840757</v>
      </c>
      <c r="J39">
        <v>-36.330321659495098</v>
      </c>
      <c r="K39">
        <v>138.354565810602</v>
      </c>
      <c r="L39">
        <v>-0.15228495766126784</v>
      </c>
      <c r="M39">
        <v>56.2284457282855</v>
      </c>
      <c r="N39">
        <v>-17.692276465255361</v>
      </c>
      <c r="O39">
        <v>1.2380139624038966</v>
      </c>
      <c r="P39">
        <v>538.8876842737194</v>
      </c>
      <c r="Q39">
        <v>-60.833048425111024</v>
      </c>
      <c r="R39">
        <v>-57.766942520823861</v>
      </c>
      <c r="S39">
        <v>9.9722600125531184E-3</v>
      </c>
      <c r="T39">
        <v>-61.568584139404116</v>
      </c>
    </row>
    <row r="40" spans="1:20" x14ac:dyDescent="0.15">
      <c r="A40" t="s">
        <v>155</v>
      </c>
      <c r="B40">
        <v>29.005982112647306</v>
      </c>
      <c r="C40">
        <v>-35.418578584785799</v>
      </c>
      <c r="D40">
        <v>-6.6864795009739373</v>
      </c>
      <c r="E40">
        <v>-0.10771548546877545</v>
      </c>
      <c r="F40">
        <v>2.9273141641562437</v>
      </c>
      <c r="G40">
        <v>-37.675140115389731</v>
      </c>
      <c r="H40">
        <v>-2.2854606912523265</v>
      </c>
      <c r="I40">
        <v>10.368017565205658</v>
      </c>
      <c r="J40">
        <v>3.3757451566843164</v>
      </c>
      <c r="K40">
        <v>-10.795540567867739</v>
      </c>
      <c r="L40">
        <v>1.2899888842653764E-2</v>
      </c>
      <c r="M40">
        <v>-7.0757957661253581</v>
      </c>
      <c r="N40">
        <v>1.8687579281722602</v>
      </c>
      <c r="O40">
        <v>-0.36080940632904257</v>
      </c>
      <c r="P40">
        <v>-60.833048425138202</v>
      </c>
      <c r="Q40">
        <v>11.138668993566215</v>
      </c>
      <c r="R40">
        <v>7.9664115587589768</v>
      </c>
      <c r="S40">
        <v>0.17809633830882363</v>
      </c>
      <c r="T40">
        <v>4.6547408122771419</v>
      </c>
    </row>
    <row r="41" spans="1:20" x14ac:dyDescent="0.15">
      <c r="A41" t="s">
        <v>156</v>
      </c>
      <c r="B41">
        <v>519.87984367165291</v>
      </c>
      <c r="C41">
        <v>-584.28387970493111</v>
      </c>
      <c r="D41">
        <v>140.61468751483815</v>
      </c>
      <c r="E41">
        <v>1.7295819699934156</v>
      </c>
      <c r="F41">
        <v>-184.83405569132407</v>
      </c>
      <c r="G41">
        <v>-1528.5934138962655</v>
      </c>
      <c r="H41">
        <v>-4.4256116942414518</v>
      </c>
      <c r="I41">
        <v>-215.41409177501959</v>
      </c>
      <c r="J41">
        <v>18.312640793978396</v>
      </c>
      <c r="K41">
        <v>-15.743878044614931</v>
      </c>
      <c r="L41">
        <v>0.85356900659882917</v>
      </c>
      <c r="M41">
        <v>-122.54422914161684</v>
      </c>
      <c r="N41">
        <v>71.232188289090431</v>
      </c>
      <c r="O41">
        <v>-58.552743967469027</v>
      </c>
      <c r="P41">
        <v>-57.766942519711122</v>
      </c>
      <c r="Q41">
        <v>7.9664115586059596</v>
      </c>
      <c r="R41">
        <v>1950.3682881333962</v>
      </c>
      <c r="S41">
        <v>2.4842085349292717</v>
      </c>
      <c r="T41">
        <v>904.80510902323476</v>
      </c>
    </row>
    <row r="42" spans="1:20" x14ac:dyDescent="0.15">
      <c r="A42" t="s">
        <v>157</v>
      </c>
      <c r="B42">
        <v>5.5959898223589608</v>
      </c>
      <c r="C42">
        <v>-6.5182427190807752</v>
      </c>
      <c r="D42">
        <v>1.5393053468071662</v>
      </c>
      <c r="E42">
        <v>2.4040052120212176E-2</v>
      </c>
      <c r="F42">
        <v>-4.139259367800042</v>
      </c>
      <c r="G42">
        <v>4.2572312555885716</v>
      </c>
      <c r="H42">
        <v>-0.49931924233027197</v>
      </c>
      <c r="I42">
        <v>-1.4738334220093912</v>
      </c>
      <c r="J42">
        <v>2.2907267439950595E-2</v>
      </c>
      <c r="K42">
        <v>0.14603611495195179</v>
      </c>
      <c r="L42">
        <v>1.9291127921679967E-2</v>
      </c>
      <c r="M42">
        <v>0.49761879424125655</v>
      </c>
      <c r="N42">
        <v>1.6181518283169032</v>
      </c>
      <c r="O42">
        <v>-1.6128590326890511</v>
      </c>
      <c r="P42">
        <v>9.9722600192892613E-3</v>
      </c>
      <c r="Q42">
        <v>0.17809633830764951</v>
      </c>
      <c r="R42">
        <v>2.484208534910306</v>
      </c>
      <c r="S42">
        <v>1.3926180841110227</v>
      </c>
      <c r="T42">
        <v>-0.49680766475057886</v>
      </c>
    </row>
    <row r="43" spans="1:20" x14ac:dyDescent="0.15">
      <c r="A43" t="s">
        <v>158</v>
      </c>
      <c r="B43">
        <v>231.65036013855098</v>
      </c>
      <c r="C43">
        <v>-246.17225357203091</v>
      </c>
      <c r="D43">
        <v>58.731009478531888</v>
      </c>
      <c r="E43">
        <v>1.2755158140037057</v>
      </c>
      <c r="F43">
        <v>-83.108650451406163</v>
      </c>
      <c r="G43">
        <v>-781.24239931297564</v>
      </c>
      <c r="H43">
        <v>-2.458034610190202</v>
      </c>
      <c r="I43">
        <v>-88.714238220128394</v>
      </c>
      <c r="J43">
        <v>13.567292194737973</v>
      </c>
      <c r="K43">
        <v>-20.147669780365046</v>
      </c>
      <c r="L43">
        <v>0.3958063089312589</v>
      </c>
      <c r="M43">
        <v>-59.819635086652646</v>
      </c>
      <c r="N43">
        <v>32.98058757465278</v>
      </c>
      <c r="O43">
        <v>-24.845440681751516</v>
      </c>
      <c r="P43">
        <v>-61.568584138939443</v>
      </c>
      <c r="Q43">
        <v>4.6547408122125606</v>
      </c>
      <c r="R43">
        <v>904.80510902337619</v>
      </c>
      <c r="S43">
        <v>-0.49680766474119525</v>
      </c>
      <c r="T43">
        <v>456.93539258240679</v>
      </c>
    </row>
  </sheetData>
  <phoneticPr fontId="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3"/>
  <sheetViews>
    <sheetView workbookViewId="0">
      <selection activeCell="D47" sqref="D47"/>
    </sheetView>
  </sheetViews>
  <sheetFormatPr defaultRowHeight="13.5" x14ac:dyDescent="0.15"/>
  <sheetData>
    <row r="1" spans="1:20" x14ac:dyDescent="0.15">
      <c r="A1" t="s">
        <v>165</v>
      </c>
    </row>
    <row r="2" spans="1:20" x14ac:dyDescent="0.15">
      <c r="A2" t="s">
        <v>170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</row>
    <row r="3" spans="1:20" x14ac:dyDescent="0.15">
      <c r="A3">
        <v>1</v>
      </c>
      <c r="B3">
        <v>18.183912576637301</v>
      </c>
      <c r="C3">
        <v>11.193226553487101</v>
      </c>
      <c r="D3">
        <v>-6.7029400555360699</v>
      </c>
      <c r="E3">
        <v>16.314326327037801</v>
      </c>
      <c r="F3">
        <v>2.07092966393596</v>
      </c>
      <c r="G3">
        <v>-4.1219773704938101</v>
      </c>
      <c r="H3">
        <v>2.8008481077230201</v>
      </c>
      <c r="I3">
        <v>1.2981355649239401</v>
      </c>
      <c r="J3">
        <v>-1.6247938290739901</v>
      </c>
      <c r="K3">
        <v>-0.225086737186872</v>
      </c>
      <c r="L3">
        <v>16.034074272268398</v>
      </c>
      <c r="M3">
        <v>7.9641609476209396</v>
      </c>
      <c r="N3">
        <v>7.8842511358789897</v>
      </c>
      <c r="O3">
        <v>6.5638819688954699</v>
      </c>
      <c r="P3">
        <v>8.2871974182046895</v>
      </c>
      <c r="Q3">
        <v>21.545303168675701</v>
      </c>
      <c r="R3">
        <v>-0.95591199292169704</v>
      </c>
      <c r="S3">
        <v>6.6807468717396998E-2</v>
      </c>
      <c r="T3">
        <v>-5.1310729124366796</v>
      </c>
    </row>
    <row r="4" spans="1:20" x14ac:dyDescent="0.15">
      <c r="A4">
        <v>2</v>
      </c>
      <c r="B4">
        <v>11.193226553487101</v>
      </c>
      <c r="C4">
        <v>11.6275150944627</v>
      </c>
      <c r="D4">
        <v>-11.989751560067001</v>
      </c>
      <c r="E4">
        <v>14.673584790984</v>
      </c>
      <c r="F4">
        <v>2.2662275476476799</v>
      </c>
      <c r="G4">
        <v>1.68851025007728</v>
      </c>
      <c r="H4">
        <v>8.1924338007409094</v>
      </c>
      <c r="I4">
        <v>0.116091078055111</v>
      </c>
      <c r="J4">
        <v>-2.34234177542855</v>
      </c>
      <c r="K4">
        <v>-8.7990750075367306</v>
      </c>
      <c r="L4">
        <v>17.791721746714</v>
      </c>
      <c r="M4">
        <v>19.169346517858699</v>
      </c>
      <c r="N4">
        <v>10.492718438492499</v>
      </c>
      <c r="O4">
        <v>4.9451455389706496</v>
      </c>
      <c r="P4">
        <v>2.7896534611629602</v>
      </c>
      <c r="Q4">
        <v>22.987419883170901</v>
      </c>
      <c r="R4">
        <v>5.4292295367405696</v>
      </c>
      <c r="S4">
        <v>0.59838408390435804</v>
      </c>
      <c r="T4">
        <v>-3.4655868938417398</v>
      </c>
    </row>
    <row r="5" spans="1:20" x14ac:dyDescent="0.15">
      <c r="A5">
        <v>3</v>
      </c>
      <c r="B5">
        <v>-6.7029400555360699</v>
      </c>
      <c r="C5">
        <v>-11.989751560067001</v>
      </c>
      <c r="D5">
        <v>37.070879995456899</v>
      </c>
      <c r="E5">
        <v>-21.783307554001102</v>
      </c>
      <c r="F5">
        <v>-1.6203777153119301</v>
      </c>
      <c r="G5">
        <v>-7.7957528611537601</v>
      </c>
      <c r="H5">
        <v>-33.363015249429097</v>
      </c>
      <c r="I5">
        <v>7.41203717686298</v>
      </c>
      <c r="J5">
        <v>9.2970691578262894</v>
      </c>
      <c r="K5">
        <v>21.807409445710299</v>
      </c>
      <c r="L5">
        <v>-10.089196324481801</v>
      </c>
      <c r="M5">
        <v>-19.958646052216299</v>
      </c>
      <c r="N5">
        <v>-22.856998208502901</v>
      </c>
      <c r="O5">
        <v>1.7728754927203101</v>
      </c>
      <c r="P5">
        <v>-2.0310012702970601</v>
      </c>
      <c r="Q5">
        <v>-32.482151807082602</v>
      </c>
      <c r="R5">
        <v>-9.6705656100111295</v>
      </c>
      <c r="S5">
        <v>-0.41425074540520601</v>
      </c>
      <c r="T5">
        <v>-1.09558541612867</v>
      </c>
    </row>
    <row r="6" spans="1:20" x14ac:dyDescent="0.15">
      <c r="A6">
        <v>4</v>
      </c>
      <c r="B6">
        <v>16.314326327037801</v>
      </c>
      <c r="C6">
        <v>14.673584790984</v>
      </c>
      <c r="D6">
        <v>-21.783307554001102</v>
      </c>
      <c r="E6">
        <v>67.265238687379394</v>
      </c>
      <c r="F6">
        <v>1.6107450733347499</v>
      </c>
      <c r="G6">
        <v>-6.0743496420514704</v>
      </c>
      <c r="H6">
        <v>28.084960519986002</v>
      </c>
      <c r="I6">
        <v>-6.1561873083269498</v>
      </c>
      <c r="J6">
        <v>-19.419157020611198</v>
      </c>
      <c r="K6">
        <v>-19.6364963711518</v>
      </c>
      <c r="L6">
        <v>45.698366613218397</v>
      </c>
      <c r="M6">
        <v>40.403311962805503</v>
      </c>
      <c r="N6">
        <v>40.760057742544298</v>
      </c>
      <c r="O6">
        <v>22.462253535956702</v>
      </c>
      <c r="P6">
        <v>9.16116884823637</v>
      </c>
      <c r="Q6">
        <v>41.2590502650188</v>
      </c>
      <c r="R6">
        <v>5.0309968137554497</v>
      </c>
      <c r="S6">
        <v>-0.68155019995519905</v>
      </c>
      <c r="T6">
        <v>-14.798983937340701</v>
      </c>
    </row>
    <row r="7" spans="1:20" x14ac:dyDescent="0.15">
      <c r="A7">
        <v>5</v>
      </c>
      <c r="B7">
        <v>2.07092966393596</v>
      </c>
      <c r="C7">
        <v>2.2662275476476799</v>
      </c>
      <c r="D7">
        <v>-1.6203777153119301</v>
      </c>
      <c r="E7">
        <v>1.6107450733347499</v>
      </c>
      <c r="F7">
        <v>2.07393772513077</v>
      </c>
      <c r="G7">
        <v>0.85268682669321805</v>
      </c>
      <c r="H7">
        <v>6.0584373918738601</v>
      </c>
      <c r="I7">
        <v>0.54421271690066098</v>
      </c>
      <c r="J7">
        <v>0.42854568570410301</v>
      </c>
      <c r="K7">
        <v>-2.1416177857903298</v>
      </c>
      <c r="L7">
        <v>1.5126693689994299</v>
      </c>
      <c r="M7">
        <v>3.0651824825127498</v>
      </c>
      <c r="N7">
        <v>5.14651550523919</v>
      </c>
      <c r="O7">
        <v>0.63000150410757105</v>
      </c>
      <c r="P7">
        <v>0.55283814389076202</v>
      </c>
      <c r="Q7">
        <v>4.9841497856288699</v>
      </c>
      <c r="R7">
        <v>1.1825866575771999</v>
      </c>
      <c r="S7">
        <v>1.450200509968</v>
      </c>
      <c r="T7">
        <v>-1.26651613468969E-2</v>
      </c>
    </row>
    <row r="8" spans="1:20" x14ac:dyDescent="0.15">
      <c r="A8">
        <v>6</v>
      </c>
      <c r="B8">
        <v>-4.1219773704938101</v>
      </c>
      <c r="C8">
        <v>1.68851025007728</v>
      </c>
      <c r="D8">
        <v>-7.7957528611537601</v>
      </c>
      <c r="E8">
        <v>-6.0743496420514704</v>
      </c>
      <c r="F8">
        <v>0.85268682669321805</v>
      </c>
      <c r="G8">
        <v>8.0818121180532696</v>
      </c>
      <c r="H8">
        <v>3.42438620293645</v>
      </c>
      <c r="I8">
        <v>4.6965538237712198E-2</v>
      </c>
      <c r="J8">
        <v>3.0378361034263199</v>
      </c>
      <c r="K8">
        <v>-6.1020978822002299</v>
      </c>
      <c r="L8">
        <v>-10.680517512693701</v>
      </c>
      <c r="M8">
        <v>1.2727253147887501</v>
      </c>
      <c r="N8">
        <v>-2.9961252548730499</v>
      </c>
      <c r="O8">
        <v>-6.0608136885399801</v>
      </c>
      <c r="P8">
        <v>-4.4644028551252202</v>
      </c>
      <c r="Q8">
        <v>2.5232425369059701</v>
      </c>
      <c r="R8">
        <v>5.6492780157368099</v>
      </c>
      <c r="S8">
        <v>0.77929955628113601</v>
      </c>
      <c r="T8">
        <v>5.9092359368072298</v>
      </c>
    </row>
    <row r="9" spans="1:20" x14ac:dyDescent="0.15">
      <c r="A9">
        <v>7</v>
      </c>
      <c r="B9">
        <v>2.8008481077230201</v>
      </c>
      <c r="C9">
        <v>8.1924338007409094</v>
      </c>
      <c r="D9">
        <v>-33.363015249429097</v>
      </c>
      <c r="E9">
        <v>28.084960519986002</v>
      </c>
      <c r="F9">
        <v>6.0584373918738601</v>
      </c>
      <c r="G9">
        <v>3.42438620293645</v>
      </c>
      <c r="H9">
        <v>59.2008655132922</v>
      </c>
      <c r="I9">
        <v>-9.6948961102027091</v>
      </c>
      <c r="J9">
        <v>-14.830892455973199</v>
      </c>
      <c r="K9">
        <v>-25.752191789924101</v>
      </c>
      <c r="L9">
        <v>19.1317933387636</v>
      </c>
      <c r="M9">
        <v>26.9696632679034</v>
      </c>
      <c r="N9">
        <v>47.2003292972229</v>
      </c>
      <c r="O9">
        <v>3.4360906753757399</v>
      </c>
      <c r="P9">
        <v>3.2364402362378799</v>
      </c>
      <c r="Q9">
        <v>32.368307571105902</v>
      </c>
      <c r="R9">
        <v>8.0543875854296694</v>
      </c>
      <c r="S9">
        <v>4.3357946419158502</v>
      </c>
      <c r="T9">
        <v>-3.6423797650710901</v>
      </c>
    </row>
    <row r="10" spans="1:20" x14ac:dyDescent="0.15">
      <c r="A10">
        <v>8</v>
      </c>
      <c r="B10">
        <v>1.2981355649239401</v>
      </c>
      <c r="C10">
        <v>0.116091078055111</v>
      </c>
      <c r="D10">
        <v>7.41203717686298</v>
      </c>
      <c r="E10">
        <v>-6.1561873083269498</v>
      </c>
      <c r="F10">
        <v>0.54421271690066098</v>
      </c>
      <c r="G10">
        <v>4.6965538237712198E-2</v>
      </c>
      <c r="H10">
        <v>-9.6948961102027091</v>
      </c>
      <c r="I10">
        <v>3.2337476902839302</v>
      </c>
      <c r="J10">
        <v>4.55843219255771</v>
      </c>
      <c r="K10">
        <v>4.7853255357761801</v>
      </c>
      <c r="L10">
        <v>-3.93898848828966</v>
      </c>
      <c r="M10">
        <v>-4.1362939532534</v>
      </c>
      <c r="N10">
        <v>-7.4835611953500996</v>
      </c>
      <c r="O10">
        <v>-0.36190064544800199</v>
      </c>
      <c r="P10">
        <v>-0.40162511168922599</v>
      </c>
      <c r="Q10">
        <v>-3.7209389405280402</v>
      </c>
      <c r="R10">
        <v>-0.89928854940988801</v>
      </c>
      <c r="S10">
        <v>0.34932397114918101</v>
      </c>
      <c r="T10">
        <v>1.0468278783749401</v>
      </c>
    </row>
    <row r="11" spans="1:20" x14ac:dyDescent="0.15">
      <c r="A11">
        <v>9</v>
      </c>
      <c r="B11">
        <v>-1.6247938290739901</v>
      </c>
      <c r="C11">
        <v>-2.34234177542855</v>
      </c>
      <c r="D11">
        <v>9.2970691578262894</v>
      </c>
      <c r="E11">
        <v>-19.419157020611198</v>
      </c>
      <c r="F11">
        <v>0.42854568570410301</v>
      </c>
      <c r="G11">
        <v>3.0378361034263199</v>
      </c>
      <c r="H11">
        <v>-14.830892455973199</v>
      </c>
      <c r="I11">
        <v>4.55843219255771</v>
      </c>
      <c r="J11">
        <v>16.298270860100601</v>
      </c>
      <c r="K11">
        <v>11.075738869634</v>
      </c>
      <c r="L11">
        <v>-19.708739829427799</v>
      </c>
      <c r="M11">
        <v>-16.298809692813201</v>
      </c>
      <c r="N11">
        <v>-31.245224390169099</v>
      </c>
      <c r="O11">
        <v>-21.464890337452399</v>
      </c>
      <c r="P11">
        <v>-3.1964927976180202</v>
      </c>
      <c r="Q11">
        <v>-13.903388657014601</v>
      </c>
      <c r="R11">
        <v>-1.57608959742363</v>
      </c>
      <c r="S11">
        <v>9.3445763820779307E-2</v>
      </c>
      <c r="T11">
        <v>6.30589480925783</v>
      </c>
    </row>
    <row r="12" spans="1:20" x14ac:dyDescent="0.15">
      <c r="A12">
        <v>10</v>
      </c>
      <c r="B12">
        <v>-0.225086737186872</v>
      </c>
      <c r="C12">
        <v>-8.7990750075367306</v>
      </c>
      <c r="D12">
        <v>21.807409445710299</v>
      </c>
      <c r="E12">
        <v>-19.6364963711518</v>
      </c>
      <c r="F12">
        <v>-2.1416177857903298</v>
      </c>
      <c r="G12">
        <v>-6.1020978822002299</v>
      </c>
      <c r="H12">
        <v>-25.752191789924101</v>
      </c>
      <c r="I12">
        <v>4.7853255357761801</v>
      </c>
      <c r="J12">
        <v>11.075738869634</v>
      </c>
      <c r="K12">
        <v>29.869758082611</v>
      </c>
      <c r="L12">
        <v>-18.3025835820861</v>
      </c>
      <c r="M12">
        <v>-30.123791761624201</v>
      </c>
      <c r="N12">
        <v>-27.689671570949098</v>
      </c>
      <c r="O12">
        <v>-9.3758718649749095</v>
      </c>
      <c r="P12">
        <v>-1.17841534326797</v>
      </c>
      <c r="Q12">
        <v>-33.321459687342397</v>
      </c>
      <c r="R12">
        <v>-10.9979512929309</v>
      </c>
      <c r="S12">
        <v>-1.9136803010561501</v>
      </c>
      <c r="T12">
        <v>3.0989378934155898</v>
      </c>
    </row>
    <row r="13" spans="1:20" x14ac:dyDescent="0.15">
      <c r="A13">
        <v>11</v>
      </c>
      <c r="B13">
        <v>16.034074272268398</v>
      </c>
      <c r="C13">
        <v>17.791721746714</v>
      </c>
      <c r="D13">
        <v>-10.089196324481801</v>
      </c>
      <c r="E13">
        <v>45.698366613218397</v>
      </c>
      <c r="F13">
        <v>1.5126693689994299</v>
      </c>
      <c r="G13">
        <v>-10.680517512693701</v>
      </c>
      <c r="H13">
        <v>19.1317933387636</v>
      </c>
      <c r="I13">
        <v>-3.93898848828966</v>
      </c>
      <c r="J13">
        <v>-19.708739829427799</v>
      </c>
      <c r="K13">
        <v>-18.3025835820861</v>
      </c>
      <c r="L13">
        <v>251.35696067969999</v>
      </c>
      <c r="M13">
        <v>73.0977504919572</v>
      </c>
      <c r="N13">
        <v>38.999601642710203</v>
      </c>
      <c r="O13">
        <v>27.620296599456498</v>
      </c>
      <c r="P13">
        <v>4.2458305381730996</v>
      </c>
      <c r="Q13">
        <v>36.594000594994</v>
      </c>
      <c r="R13">
        <v>9.1235006816640105</v>
      </c>
      <c r="S13">
        <v>-1.9264275305426299</v>
      </c>
      <c r="T13">
        <v>-26.073748373000299</v>
      </c>
    </row>
    <row r="14" spans="1:20" x14ac:dyDescent="0.15">
      <c r="A14">
        <v>12</v>
      </c>
      <c r="B14">
        <v>7.9641609476209396</v>
      </c>
      <c r="C14">
        <v>19.169346517858699</v>
      </c>
      <c r="D14">
        <v>-19.958646052216299</v>
      </c>
      <c r="E14">
        <v>40.403311962805503</v>
      </c>
      <c r="F14">
        <v>3.0651824825127498</v>
      </c>
      <c r="G14">
        <v>1.2727253147887501</v>
      </c>
      <c r="H14">
        <v>26.9696632679034</v>
      </c>
      <c r="I14">
        <v>-4.1362939532534</v>
      </c>
      <c r="J14">
        <v>-16.298809692813201</v>
      </c>
      <c r="K14">
        <v>-30.123791761624201</v>
      </c>
      <c r="L14">
        <v>73.0977504919572</v>
      </c>
      <c r="M14">
        <v>75.298655694248595</v>
      </c>
      <c r="N14">
        <v>40.396425319103599</v>
      </c>
      <c r="O14">
        <v>22.049856645859801</v>
      </c>
      <c r="P14">
        <v>-2.1601970406505902</v>
      </c>
      <c r="Q14">
        <v>41.862025632474001</v>
      </c>
      <c r="R14">
        <v>17.6129928564464</v>
      </c>
      <c r="S14">
        <v>0.68836399097588596</v>
      </c>
      <c r="T14">
        <v>-17.542036343695901</v>
      </c>
    </row>
    <row r="15" spans="1:20" x14ac:dyDescent="0.15">
      <c r="A15">
        <v>13</v>
      </c>
      <c r="B15">
        <v>7.8842511358789897</v>
      </c>
      <c r="C15">
        <v>10.492718438492499</v>
      </c>
      <c r="D15">
        <v>-22.856998208502901</v>
      </c>
      <c r="E15">
        <v>40.760057742544298</v>
      </c>
      <c r="F15">
        <v>5.14651550523919</v>
      </c>
      <c r="G15">
        <v>-2.9961252548730499</v>
      </c>
      <c r="H15">
        <v>47.2003292972229</v>
      </c>
      <c r="I15">
        <v>-7.4835611953500996</v>
      </c>
      <c r="J15">
        <v>-31.245224390169099</v>
      </c>
      <c r="K15">
        <v>-27.689671570949098</v>
      </c>
      <c r="L15">
        <v>38.999601642710203</v>
      </c>
      <c r="M15">
        <v>40.396425319103599</v>
      </c>
      <c r="N15">
        <v>78.552075016525706</v>
      </c>
      <c r="O15">
        <v>45.701494326335798</v>
      </c>
      <c r="P15">
        <v>7.0773523958953</v>
      </c>
      <c r="Q15">
        <v>39.971786877328697</v>
      </c>
      <c r="R15">
        <v>6.7481710843424203</v>
      </c>
      <c r="S15">
        <v>4.0894097594289196</v>
      </c>
      <c r="T15">
        <v>-11.9404128380959</v>
      </c>
    </row>
    <row r="16" spans="1:20" x14ac:dyDescent="0.15">
      <c r="A16">
        <v>14</v>
      </c>
      <c r="B16">
        <v>6.5638819688954699</v>
      </c>
      <c r="C16">
        <v>4.9451455389706496</v>
      </c>
      <c r="D16">
        <v>1.7728754927203101</v>
      </c>
      <c r="E16">
        <v>22.462253535956702</v>
      </c>
      <c r="F16">
        <v>0.63000150410757105</v>
      </c>
      <c r="G16">
        <v>-6.0608136885399801</v>
      </c>
      <c r="H16">
        <v>3.4360906753757399</v>
      </c>
      <c r="I16">
        <v>-0.36190064544800199</v>
      </c>
      <c r="J16">
        <v>-21.464890337452399</v>
      </c>
      <c r="K16">
        <v>-9.3758718649749095</v>
      </c>
      <c r="L16">
        <v>27.620296599456498</v>
      </c>
      <c r="M16">
        <v>22.049856645859801</v>
      </c>
      <c r="N16">
        <v>45.701494326335798</v>
      </c>
      <c r="O16">
        <v>45.510712463996597</v>
      </c>
      <c r="P16">
        <v>5.2302835299399701</v>
      </c>
      <c r="Q16">
        <v>17.667554317402001</v>
      </c>
      <c r="R16">
        <v>0.81638533941506897</v>
      </c>
      <c r="S16">
        <v>1.0025820045870799</v>
      </c>
      <c r="T16">
        <v>-10.081783344306899</v>
      </c>
    </row>
    <row r="17" spans="1:20" x14ac:dyDescent="0.15">
      <c r="A17">
        <v>15</v>
      </c>
      <c r="B17">
        <v>8.2871974182046895</v>
      </c>
      <c r="C17">
        <v>2.7896534611629602</v>
      </c>
      <c r="D17">
        <v>-2.0310012702970601</v>
      </c>
      <c r="E17">
        <v>9.16116884823637</v>
      </c>
      <c r="F17">
        <v>0.55283814389076202</v>
      </c>
      <c r="G17">
        <v>-4.4644028551252202</v>
      </c>
      <c r="H17">
        <v>3.2364402362378799</v>
      </c>
      <c r="I17">
        <v>-0.40162511168922599</v>
      </c>
      <c r="J17">
        <v>-3.1964927976180202</v>
      </c>
      <c r="K17">
        <v>-1.17841534326797</v>
      </c>
      <c r="L17">
        <v>4.2458305381730996</v>
      </c>
      <c r="M17">
        <v>-2.1601970406505902</v>
      </c>
      <c r="N17">
        <v>7.0773523958953</v>
      </c>
      <c r="O17">
        <v>5.2302835299399701</v>
      </c>
      <c r="P17">
        <v>6.9276113914450601</v>
      </c>
      <c r="Q17">
        <v>10.891558879278</v>
      </c>
      <c r="R17">
        <v>-3.37992874978073</v>
      </c>
      <c r="S17">
        <v>0.105493199173247</v>
      </c>
      <c r="T17">
        <v>-3.0104868348955298</v>
      </c>
    </row>
    <row r="18" spans="1:20" x14ac:dyDescent="0.15">
      <c r="A18">
        <v>16</v>
      </c>
      <c r="B18">
        <v>21.545303168675701</v>
      </c>
      <c r="C18">
        <v>22.987419883170901</v>
      </c>
      <c r="D18">
        <v>-32.482151807082602</v>
      </c>
      <c r="E18">
        <v>41.2590502650188</v>
      </c>
      <c r="F18">
        <v>4.9841497856288699</v>
      </c>
      <c r="G18">
        <v>2.5232425369059701</v>
      </c>
      <c r="H18">
        <v>32.368307571105902</v>
      </c>
      <c r="I18">
        <v>-3.7209389405280402</v>
      </c>
      <c r="J18">
        <v>-13.903388657014601</v>
      </c>
      <c r="K18">
        <v>-33.321459687342397</v>
      </c>
      <c r="L18">
        <v>36.594000594994</v>
      </c>
      <c r="M18">
        <v>41.862025632474001</v>
      </c>
      <c r="N18">
        <v>39.971786877328697</v>
      </c>
      <c r="O18">
        <v>17.667554317402001</v>
      </c>
      <c r="P18">
        <v>10.891558879278</v>
      </c>
      <c r="Q18">
        <v>62.714345696610003</v>
      </c>
      <c r="R18">
        <v>11.205860354468401</v>
      </c>
      <c r="S18">
        <v>2.0617043434634499</v>
      </c>
      <c r="T18">
        <v>-8.6968094118735095</v>
      </c>
    </row>
    <row r="19" spans="1:20" x14ac:dyDescent="0.15">
      <c r="A19">
        <v>17</v>
      </c>
      <c r="B19">
        <v>-0.95591199292169704</v>
      </c>
      <c r="C19">
        <v>5.4292295367405696</v>
      </c>
      <c r="D19">
        <v>-9.6705656100111295</v>
      </c>
      <c r="E19">
        <v>5.0309968137554497</v>
      </c>
      <c r="F19">
        <v>1.1825866575771999</v>
      </c>
      <c r="G19">
        <v>5.6492780157368099</v>
      </c>
      <c r="H19">
        <v>8.0543875854296694</v>
      </c>
      <c r="I19">
        <v>-0.89928854940988801</v>
      </c>
      <c r="J19">
        <v>-1.57608959742363</v>
      </c>
      <c r="K19">
        <v>-10.9979512929309</v>
      </c>
      <c r="L19">
        <v>9.1235006816640105</v>
      </c>
      <c r="M19">
        <v>17.6129928564464</v>
      </c>
      <c r="N19">
        <v>6.7481710843424203</v>
      </c>
      <c r="O19">
        <v>0.81638533941506897</v>
      </c>
      <c r="P19">
        <v>-3.37992874978073</v>
      </c>
      <c r="Q19">
        <v>11.205860354468401</v>
      </c>
      <c r="R19">
        <v>7.7165842817482897</v>
      </c>
      <c r="S19">
        <v>0.70830603123501001</v>
      </c>
      <c r="T19">
        <v>-5.0618084788834297E-2</v>
      </c>
    </row>
    <row r="20" spans="1:20" x14ac:dyDescent="0.15">
      <c r="A20">
        <v>18</v>
      </c>
      <c r="B20">
        <v>6.6807468717396998E-2</v>
      </c>
      <c r="C20">
        <v>0.59838408390435804</v>
      </c>
      <c r="D20">
        <v>-0.41425074540520601</v>
      </c>
      <c r="E20">
        <v>-0.68155019995519905</v>
      </c>
      <c r="F20">
        <v>1.450200509968</v>
      </c>
      <c r="G20">
        <v>0.77929955628113601</v>
      </c>
      <c r="H20">
        <v>4.3357946419158502</v>
      </c>
      <c r="I20">
        <v>0.34932397114918101</v>
      </c>
      <c r="J20">
        <v>9.3445763820779307E-2</v>
      </c>
      <c r="K20">
        <v>-1.9136803010561501</v>
      </c>
      <c r="L20">
        <v>-1.9264275305426299</v>
      </c>
      <c r="M20">
        <v>0.68836399097588596</v>
      </c>
      <c r="N20">
        <v>4.0894097594289196</v>
      </c>
      <c r="O20">
        <v>1.0025820045870799</v>
      </c>
      <c r="P20">
        <v>0.105493199173247</v>
      </c>
      <c r="Q20">
        <v>2.0617043434634499</v>
      </c>
      <c r="R20">
        <v>0.70830603123501001</v>
      </c>
      <c r="S20">
        <v>2.57236376229244</v>
      </c>
      <c r="T20">
        <v>0.38840048789090298</v>
      </c>
    </row>
    <row r="21" spans="1:20" x14ac:dyDescent="0.15">
      <c r="A21">
        <v>19</v>
      </c>
      <c r="B21">
        <v>-5.1310729124366796</v>
      </c>
      <c r="C21">
        <v>-3.4655868938417398</v>
      </c>
      <c r="D21">
        <v>-1.09558541612867</v>
      </c>
      <c r="E21">
        <v>-14.798983937340701</v>
      </c>
      <c r="F21">
        <v>-1.26651613468969E-2</v>
      </c>
      <c r="G21">
        <v>5.9092359368072298</v>
      </c>
      <c r="H21">
        <v>-3.6423797650710901</v>
      </c>
      <c r="I21">
        <v>1.0468278783749401</v>
      </c>
      <c r="J21">
        <v>6.30589480925783</v>
      </c>
      <c r="K21">
        <v>3.0989378934155898</v>
      </c>
      <c r="L21">
        <v>-26.073748373000299</v>
      </c>
      <c r="M21">
        <v>-17.542036343695901</v>
      </c>
      <c r="N21">
        <v>-11.9404128380959</v>
      </c>
      <c r="O21">
        <v>-10.081783344306899</v>
      </c>
      <c r="P21">
        <v>-3.0104868348955298</v>
      </c>
      <c r="Q21">
        <v>-8.6968094118735095</v>
      </c>
      <c r="R21">
        <v>-5.0618084788834297E-2</v>
      </c>
      <c r="S21">
        <v>0.38840048789090298</v>
      </c>
      <c r="T21">
        <v>8.9758763273353406</v>
      </c>
    </row>
    <row r="23" spans="1:20" x14ac:dyDescent="0.15">
      <c r="A23" t="s">
        <v>166</v>
      </c>
    </row>
    <row r="24" spans="1:20" x14ac:dyDescent="0.15">
      <c r="A24" t="s">
        <v>170</v>
      </c>
      <c r="B24">
        <v>1</v>
      </c>
      <c r="C24">
        <v>2</v>
      </c>
      <c r="D24">
        <v>3</v>
      </c>
      <c r="E24">
        <v>4</v>
      </c>
      <c r="F24">
        <v>5</v>
      </c>
      <c r="G24">
        <v>6</v>
      </c>
      <c r="H24">
        <v>7</v>
      </c>
      <c r="I24">
        <v>8</v>
      </c>
      <c r="J24">
        <v>9</v>
      </c>
      <c r="K24">
        <v>10</v>
      </c>
      <c r="L24">
        <v>11</v>
      </c>
      <c r="M24">
        <v>12</v>
      </c>
      <c r="N24">
        <v>13</v>
      </c>
      <c r="O24">
        <v>14</v>
      </c>
      <c r="P24">
        <v>15</v>
      </c>
      <c r="Q24">
        <v>16</v>
      </c>
      <c r="R24">
        <v>17</v>
      </c>
      <c r="S24">
        <v>18</v>
      </c>
      <c r="T24">
        <v>19</v>
      </c>
    </row>
    <row r="25" spans="1:20" x14ac:dyDescent="0.15">
      <c r="A25">
        <v>1</v>
      </c>
      <c r="B25">
        <v>415.50008144041152</v>
      </c>
      <c r="C25">
        <v>-417.85627402377247</v>
      </c>
      <c r="D25">
        <v>45.403811636686285</v>
      </c>
      <c r="E25">
        <v>0.33676818414875576</v>
      </c>
      <c r="F25">
        <v>-93.621981601636136</v>
      </c>
      <c r="G25">
        <v>-445.68982783421433</v>
      </c>
      <c r="H25">
        <v>-1.2210998397804866</v>
      </c>
      <c r="I25">
        <v>-74.875220455787641</v>
      </c>
      <c r="J25">
        <v>29.529974180462833</v>
      </c>
      <c r="K25">
        <v>-95.20491678786334</v>
      </c>
      <c r="L25">
        <v>0.40176820652865808</v>
      </c>
      <c r="M25">
        <v>-55.320578314202557</v>
      </c>
      <c r="N25">
        <v>31.710886943086706</v>
      </c>
      <c r="O25">
        <v>-17.446265329382566</v>
      </c>
      <c r="P25">
        <v>-330.09781372462868</v>
      </c>
      <c r="Q25">
        <v>29.005982112567803</v>
      </c>
      <c r="R25">
        <v>519.87984367208048</v>
      </c>
      <c r="S25">
        <v>5.5959898223656594</v>
      </c>
      <c r="T25">
        <v>231.65036013868226</v>
      </c>
    </row>
    <row r="26" spans="1:20" x14ac:dyDescent="0.15">
      <c r="A26">
        <v>2</v>
      </c>
      <c r="B26">
        <v>-417.85627402378645</v>
      </c>
      <c r="C26">
        <v>447.27312252075762</v>
      </c>
      <c r="D26">
        <v>-42.351917831897964</v>
      </c>
      <c r="E26">
        <v>-8.6659837838053977E-2</v>
      </c>
      <c r="F26">
        <v>91.333900598823902</v>
      </c>
      <c r="G26">
        <v>479.62445465180213</v>
      </c>
      <c r="H26">
        <v>3.3444958867349293</v>
      </c>
      <c r="I26">
        <v>67.871959268509826</v>
      </c>
      <c r="J26">
        <v>-27.677948628503163</v>
      </c>
      <c r="K26">
        <v>81.78465888945216</v>
      </c>
      <c r="L26">
        <v>-0.40484877451472501</v>
      </c>
      <c r="M26">
        <v>57.118652239154564</v>
      </c>
      <c r="N26">
        <v>-33.406263541966361</v>
      </c>
      <c r="O26">
        <v>19.966529371841343</v>
      </c>
      <c r="P26">
        <v>313.6144316057804</v>
      </c>
      <c r="Q26">
        <v>-35.41857858470572</v>
      </c>
      <c r="R26">
        <v>-584.28387970533765</v>
      </c>
      <c r="S26">
        <v>-6.5182427190887955</v>
      </c>
      <c r="T26">
        <v>-246.17225357214636</v>
      </c>
    </row>
    <row r="27" spans="1:20" x14ac:dyDescent="0.15">
      <c r="A27">
        <v>3</v>
      </c>
      <c r="B27">
        <v>45.403811636571334</v>
      </c>
      <c r="C27">
        <v>-42.351917831780916</v>
      </c>
      <c r="D27">
        <v>23.122201250557669</v>
      </c>
      <c r="E27">
        <v>9.2672464956438411E-2</v>
      </c>
      <c r="F27">
        <v>-25.710610419000872</v>
      </c>
      <c r="G27">
        <v>-67.494234756647913</v>
      </c>
      <c r="H27">
        <v>2.4502979047229925</v>
      </c>
      <c r="I27">
        <v>-38.918401292046987</v>
      </c>
      <c r="J27">
        <v>0.55043062023229239</v>
      </c>
      <c r="K27">
        <v>2.3901571746848491</v>
      </c>
      <c r="L27">
        <v>0.10043800586351689</v>
      </c>
      <c r="M27">
        <v>-3.9819623270140996</v>
      </c>
      <c r="N27">
        <v>5.2810684810489796</v>
      </c>
      <c r="O27">
        <v>-4.7208197845334521</v>
      </c>
      <c r="P27">
        <v>26.693751194868657</v>
      </c>
      <c r="Q27">
        <v>-6.6864795009914975</v>
      </c>
      <c r="R27">
        <v>140.61468751471494</v>
      </c>
      <c r="S27">
        <v>1.5393053468072959</v>
      </c>
      <c r="T27">
        <v>58.731009478468344</v>
      </c>
    </row>
    <row r="28" spans="1:20" x14ac:dyDescent="0.15">
      <c r="A28">
        <v>4</v>
      </c>
      <c r="B28">
        <v>0.33676818414884796</v>
      </c>
      <c r="C28">
        <v>-8.665983783815423E-2</v>
      </c>
      <c r="D28">
        <v>9.2672464956509576E-2</v>
      </c>
      <c r="E28">
        <v>6.0445535410773875E-2</v>
      </c>
      <c r="F28">
        <v>-0.450564804098112</v>
      </c>
      <c r="G28">
        <v>-2.0935961618125805</v>
      </c>
      <c r="H28">
        <v>-0.15663812866272253</v>
      </c>
      <c r="I28">
        <v>0.14872799913204596</v>
      </c>
      <c r="J28">
        <v>8.863993933210218E-2</v>
      </c>
      <c r="K28">
        <v>-0.22714780967013068</v>
      </c>
      <c r="L28">
        <v>3.1259649429388301E-3</v>
      </c>
      <c r="M28">
        <v>-0.13331864077702307</v>
      </c>
      <c r="N28">
        <v>0.35514031233425758</v>
      </c>
      <c r="O28">
        <v>-0.30885800459758822</v>
      </c>
      <c r="P28">
        <v>-0.25589390251186456</v>
      </c>
      <c r="Q28">
        <v>-0.10771548546883498</v>
      </c>
      <c r="R28">
        <v>1.7295819699929835</v>
      </c>
      <c r="S28">
        <v>2.4040052120243252E-2</v>
      </c>
      <c r="T28">
        <v>1.27551581400335</v>
      </c>
    </row>
    <row r="29" spans="1:20" x14ac:dyDescent="0.15">
      <c r="A29">
        <v>5</v>
      </c>
      <c r="B29">
        <v>-93.621981601514975</v>
      </c>
      <c r="C29">
        <v>91.333900598693305</v>
      </c>
      <c r="D29">
        <v>-25.710610419008056</v>
      </c>
      <c r="E29">
        <v>-0.45056480409795824</v>
      </c>
      <c r="F29">
        <v>96.960906407041364</v>
      </c>
      <c r="G29">
        <v>113.68888412390336</v>
      </c>
      <c r="H29">
        <v>-13.12931667812046</v>
      </c>
      <c r="I29">
        <v>-11.045217374749676</v>
      </c>
      <c r="J29">
        <v>-6.526788860226679</v>
      </c>
      <c r="K29">
        <v>10.772045225134315</v>
      </c>
      <c r="L29">
        <v>-0.23911965499896076</v>
      </c>
      <c r="M29">
        <v>8.599384611973754</v>
      </c>
      <c r="N29">
        <v>-14.094154591213027</v>
      </c>
      <c r="O29">
        <v>10.75291270747717</v>
      </c>
      <c r="P29">
        <v>16.390974106281494</v>
      </c>
      <c r="Q29">
        <v>2.9273141641807445</v>
      </c>
      <c r="R29">
        <v>-184.83405569116965</v>
      </c>
      <c r="S29">
        <v>-4.1392593678008982</v>
      </c>
      <c r="T29">
        <v>-83.108650451321225</v>
      </c>
    </row>
    <row r="30" spans="1:20" x14ac:dyDescent="0.15">
      <c r="A30">
        <v>6</v>
      </c>
      <c r="B30">
        <v>-445.68982783427026</v>
      </c>
      <c r="C30">
        <v>479.62445465189171</v>
      </c>
      <c r="D30">
        <v>-67.494234756806136</v>
      </c>
      <c r="E30">
        <v>-2.0935961618134824</v>
      </c>
      <c r="F30">
        <v>113.68888412412335</v>
      </c>
      <c r="G30">
        <v>1454.3178591300195</v>
      </c>
      <c r="H30">
        <v>12.57340342747051</v>
      </c>
      <c r="I30">
        <v>95.999377862701408</v>
      </c>
      <c r="J30">
        <v>-30.075080124418349</v>
      </c>
      <c r="K30">
        <v>71.559663713498807</v>
      </c>
      <c r="L30">
        <v>-0.60884715523515209</v>
      </c>
      <c r="M30">
        <v>126.76185596494038</v>
      </c>
      <c r="N30">
        <v>-59.052905485715364</v>
      </c>
      <c r="O30">
        <v>41.933463408021417</v>
      </c>
      <c r="P30">
        <v>291.58127096374994</v>
      </c>
      <c r="Q30">
        <v>-37.675140115288066</v>
      </c>
      <c r="R30">
        <v>-1528.5934138970208</v>
      </c>
      <c r="S30">
        <v>4.2572312555688834</v>
      </c>
      <c r="T30">
        <v>-781.24239931319664</v>
      </c>
    </row>
    <row r="31" spans="1:20" x14ac:dyDescent="0.15">
      <c r="A31">
        <v>7</v>
      </c>
      <c r="B31">
        <v>-1.221099839807682</v>
      </c>
      <c r="C31">
        <v>3.3444958867622865</v>
      </c>
      <c r="D31">
        <v>2.4502979047202191</v>
      </c>
      <c r="E31">
        <v>-0.15663812866269711</v>
      </c>
      <c r="F31">
        <v>-13.129316678114471</v>
      </c>
      <c r="G31">
        <v>12.573403427473663</v>
      </c>
      <c r="H31">
        <v>8.2636873492501834</v>
      </c>
      <c r="I31">
        <v>5.2621178939233841</v>
      </c>
      <c r="J31">
        <v>0.59431861639987549</v>
      </c>
      <c r="K31">
        <v>1.1364291049372388</v>
      </c>
      <c r="L31">
        <v>-6.3410728315844538E-3</v>
      </c>
      <c r="M31">
        <v>1.7922711374738887</v>
      </c>
      <c r="N31">
        <v>-6.3384528772569686</v>
      </c>
      <c r="O31">
        <v>6.404468823952401</v>
      </c>
      <c r="P31">
        <v>9.6782567875964887</v>
      </c>
      <c r="Q31">
        <v>-2.2854606912537352</v>
      </c>
      <c r="R31">
        <v>-4.4256116942524866</v>
      </c>
      <c r="S31">
        <v>-0.49931924233097835</v>
      </c>
      <c r="T31">
        <v>-2.4580346101916248</v>
      </c>
    </row>
    <row r="32" spans="1:20" x14ac:dyDescent="0.15">
      <c r="A32">
        <v>8</v>
      </c>
      <c r="B32">
        <v>-74.875220455621459</v>
      </c>
      <c r="C32">
        <v>67.871959268345449</v>
      </c>
      <c r="D32">
        <v>-38.918401292054952</v>
      </c>
      <c r="E32">
        <v>0.14872799913201495</v>
      </c>
      <c r="F32">
        <v>-11.045217374751704</v>
      </c>
      <c r="G32">
        <v>95.999377862538879</v>
      </c>
      <c r="H32">
        <v>5.2621178939187851</v>
      </c>
      <c r="I32">
        <v>124.51718636271464</v>
      </c>
      <c r="J32">
        <v>-6.9682035769054105</v>
      </c>
      <c r="K32">
        <v>-3.5361159604946595</v>
      </c>
      <c r="L32">
        <v>-0.11806195495468616</v>
      </c>
      <c r="M32">
        <v>5.8479991228541577</v>
      </c>
      <c r="N32">
        <v>-3.200488012610045</v>
      </c>
      <c r="O32">
        <v>-0.32722805274215949</v>
      </c>
      <c r="P32">
        <v>-40.193437317084168</v>
      </c>
      <c r="Q32">
        <v>10.368017565235222</v>
      </c>
      <c r="R32">
        <v>-215.4140917749387</v>
      </c>
      <c r="S32">
        <v>-1.473833422009394</v>
      </c>
      <c r="T32">
        <v>-88.714238220082208</v>
      </c>
    </row>
    <row r="33" spans="1:20" x14ac:dyDescent="0.15">
      <c r="A33">
        <v>9</v>
      </c>
      <c r="B33">
        <v>29.529974180487976</v>
      </c>
      <c r="C33">
        <v>-27.677948628528302</v>
      </c>
      <c r="D33">
        <v>0.5504306202441912</v>
      </c>
      <c r="E33">
        <v>8.8639939332165407E-2</v>
      </c>
      <c r="F33">
        <v>-6.5267888602408055</v>
      </c>
      <c r="G33">
        <v>-30.07508012447115</v>
      </c>
      <c r="H33">
        <v>0.59431861640129446</v>
      </c>
      <c r="I33">
        <v>-6.9682035769239121</v>
      </c>
      <c r="J33">
        <v>8.9230203979515377</v>
      </c>
      <c r="K33">
        <v>-10.520598012791851</v>
      </c>
      <c r="L33">
        <v>5.1653226975303702E-2</v>
      </c>
      <c r="M33">
        <v>-3.6393483349753852</v>
      </c>
      <c r="N33">
        <v>1.2509415509309918</v>
      </c>
      <c r="O33">
        <v>2.7261782480013355</v>
      </c>
      <c r="P33">
        <v>-36.330321659478933</v>
      </c>
      <c r="Q33">
        <v>3.3757451566804222</v>
      </c>
      <c r="R33">
        <v>18.312640794071616</v>
      </c>
      <c r="S33">
        <v>2.2907267440416341E-2</v>
      </c>
      <c r="T33">
        <v>13.567292194777883</v>
      </c>
    </row>
    <row r="34" spans="1:20" x14ac:dyDescent="0.15">
      <c r="A34">
        <v>10</v>
      </c>
      <c r="B34">
        <v>-95.204916787950395</v>
      </c>
      <c r="C34">
        <v>81.784658889536644</v>
      </c>
      <c r="D34">
        <v>2.3901571746492247</v>
      </c>
      <c r="E34">
        <v>-0.22714780967017634</v>
      </c>
      <c r="F34">
        <v>10.772045225174491</v>
      </c>
      <c r="G34">
        <v>71.559663713632972</v>
      </c>
      <c r="H34">
        <v>1.1364291049308715</v>
      </c>
      <c r="I34">
        <v>-3.5361159604346741</v>
      </c>
      <c r="J34">
        <v>-10.520598012793524</v>
      </c>
      <c r="K34">
        <v>41.14775484051512</v>
      </c>
      <c r="L34">
        <v>-4.987459802858888E-2</v>
      </c>
      <c r="M34">
        <v>13.565159914462011</v>
      </c>
      <c r="N34">
        <v>-5.0167471282200919</v>
      </c>
      <c r="O34">
        <v>0.24769878393725944</v>
      </c>
      <c r="P34">
        <v>138.35456581056982</v>
      </c>
      <c r="Q34">
        <v>-10.795540567857056</v>
      </c>
      <c r="R34">
        <v>-15.743878044867726</v>
      </c>
      <c r="S34">
        <v>0.14603611495066424</v>
      </c>
      <c r="T34">
        <v>-20.147669780469567</v>
      </c>
    </row>
    <row r="35" spans="1:20" x14ac:dyDescent="0.15">
      <c r="A35">
        <v>11</v>
      </c>
      <c r="B35">
        <v>0.40176820652844214</v>
      </c>
      <c r="C35">
        <v>-0.40484877451449164</v>
      </c>
      <c r="D35">
        <v>0.10043800586359815</v>
      </c>
      <c r="E35">
        <v>3.1259649429388196E-3</v>
      </c>
      <c r="F35">
        <v>-0.23911965499904964</v>
      </c>
      <c r="G35">
        <v>-0.60884715523474786</v>
      </c>
      <c r="H35">
        <v>-6.3410728315642564E-3</v>
      </c>
      <c r="I35">
        <v>-0.11806195495476753</v>
      </c>
      <c r="J35">
        <v>5.1653226975257621E-2</v>
      </c>
      <c r="K35">
        <v>-4.9874598028461253E-2</v>
      </c>
      <c r="L35">
        <v>7.3325930911425632E-3</v>
      </c>
      <c r="M35">
        <v>-6.1973503752186292E-2</v>
      </c>
      <c r="N35">
        <v>8.4553637037379753E-2</v>
      </c>
      <c r="O35">
        <v>-5.8450099256438237E-2</v>
      </c>
      <c r="P35">
        <v>-0.15228495766066366</v>
      </c>
      <c r="Q35">
        <v>1.2899888842561845E-2</v>
      </c>
      <c r="R35">
        <v>0.85356900659883961</v>
      </c>
      <c r="S35">
        <v>1.9291127921687697E-2</v>
      </c>
      <c r="T35">
        <v>0.39580630893119945</v>
      </c>
    </row>
    <row r="36" spans="1:20" x14ac:dyDescent="0.15">
      <c r="A36">
        <v>12</v>
      </c>
      <c r="B36">
        <v>-55.320578314233813</v>
      </c>
      <c r="C36">
        <v>57.118652239188087</v>
      </c>
      <c r="D36">
        <v>-3.9819623270356987</v>
      </c>
      <c r="E36">
        <v>-0.13331864077711042</v>
      </c>
      <c r="F36">
        <v>8.5993846120014297</v>
      </c>
      <c r="G36">
        <v>126.76185596497962</v>
      </c>
      <c r="H36">
        <v>1.7922711374722435</v>
      </c>
      <c r="I36">
        <v>5.8479991228829711</v>
      </c>
      <c r="J36">
        <v>-3.6393483349721314</v>
      </c>
      <c r="K36">
        <v>13.565159914452719</v>
      </c>
      <c r="L36">
        <v>-6.1973503752255084E-2</v>
      </c>
      <c r="M36">
        <v>14.472247172577866</v>
      </c>
      <c r="N36">
        <v>-5.7264151280125759</v>
      </c>
      <c r="O36">
        <v>3.7415978044824914</v>
      </c>
      <c r="P36">
        <v>56.228445728231186</v>
      </c>
      <c r="Q36">
        <v>-7.0757957661153688</v>
      </c>
      <c r="R36">
        <v>-122.54422914174488</v>
      </c>
      <c r="S36">
        <v>0.49761879423932837</v>
      </c>
      <c r="T36">
        <v>-59.819635086698632</v>
      </c>
    </row>
    <row r="37" spans="1:20" x14ac:dyDescent="0.15">
      <c r="A37">
        <v>13</v>
      </c>
      <c r="B37">
        <v>31.710886943082407</v>
      </c>
      <c r="C37">
        <v>-33.406263541959696</v>
      </c>
      <c r="D37">
        <v>5.2810684810551045</v>
      </c>
      <c r="E37">
        <v>0.35514031233418208</v>
      </c>
      <c r="F37">
        <v>-14.094154591221212</v>
      </c>
      <c r="G37">
        <v>-59.052905485649617</v>
      </c>
      <c r="H37">
        <v>-6.3384528772552109</v>
      </c>
      <c r="I37">
        <v>-3.2004880126165265</v>
      </c>
      <c r="J37">
        <v>1.2509415509280415</v>
      </c>
      <c r="K37">
        <v>-5.0167471282148277</v>
      </c>
      <c r="L37">
        <v>8.4553637037377991E-2</v>
      </c>
      <c r="M37">
        <v>-5.7264151280057343</v>
      </c>
      <c r="N37">
        <v>12.746661386371485</v>
      </c>
      <c r="O37">
        <v>-11.760832126592216</v>
      </c>
      <c r="P37">
        <v>-17.692276465223202</v>
      </c>
      <c r="Q37">
        <v>1.8687579281660034</v>
      </c>
      <c r="R37">
        <v>71.232188289057774</v>
      </c>
      <c r="S37">
        <v>1.6181518283181524</v>
      </c>
      <c r="T37">
        <v>32.980587574628231</v>
      </c>
    </row>
    <row r="38" spans="1:20" x14ac:dyDescent="0.15">
      <c r="A38">
        <v>14</v>
      </c>
      <c r="B38">
        <v>-17.446265329367861</v>
      </c>
      <c r="C38">
        <v>19.966529371824205</v>
      </c>
      <c r="D38">
        <v>-4.7208197845340463</v>
      </c>
      <c r="E38">
        <v>-0.30885800459748575</v>
      </c>
      <c r="F38">
        <v>10.752912707478757</v>
      </c>
      <c r="G38">
        <v>41.933463407934575</v>
      </c>
      <c r="H38">
        <v>6.4044688239512837</v>
      </c>
      <c r="I38">
        <v>-0.32722805274402283</v>
      </c>
      <c r="J38">
        <v>2.7261782480040671</v>
      </c>
      <c r="K38">
        <v>0.24769878393322808</v>
      </c>
      <c r="L38">
        <v>-5.8450099256416276E-2</v>
      </c>
      <c r="M38">
        <v>3.7415978044745293</v>
      </c>
      <c r="N38">
        <v>-11.760832126590827</v>
      </c>
      <c r="O38">
        <v>12.603807523176842</v>
      </c>
      <c r="P38">
        <v>1.2380139623811717</v>
      </c>
      <c r="Q38">
        <v>-0.36080940632484393</v>
      </c>
      <c r="R38">
        <v>-58.552743967395628</v>
      </c>
      <c r="S38">
        <v>-1.6128590326900361</v>
      </c>
      <c r="T38">
        <v>-24.84544068170996</v>
      </c>
    </row>
    <row r="39" spans="1:20" x14ac:dyDescent="0.15">
      <c r="A39">
        <v>15</v>
      </c>
      <c r="B39">
        <v>-330.09781372509138</v>
      </c>
      <c r="C39">
        <v>313.6144316062385</v>
      </c>
      <c r="D39">
        <v>26.693751194724467</v>
      </c>
      <c r="E39">
        <v>-0.25589390251216898</v>
      </c>
      <c r="F39">
        <v>16.390974106457499</v>
      </c>
      <c r="G39">
        <v>291.58127096440467</v>
      </c>
      <c r="H39">
        <v>9.6782567875759238</v>
      </c>
      <c r="I39">
        <v>-40.193437316840757</v>
      </c>
      <c r="J39">
        <v>-36.330321659495098</v>
      </c>
      <c r="K39">
        <v>138.354565810602</v>
      </c>
      <c r="L39">
        <v>-0.15228495766126784</v>
      </c>
      <c r="M39">
        <v>56.2284457282855</v>
      </c>
      <c r="N39">
        <v>-17.692276465255361</v>
      </c>
      <c r="O39">
        <v>1.2380139624038966</v>
      </c>
      <c r="P39">
        <v>538.8876842737194</v>
      </c>
      <c r="Q39">
        <v>-60.833048425111024</v>
      </c>
      <c r="R39">
        <v>-57.766942520823861</v>
      </c>
      <c r="S39">
        <v>9.9722600125531184E-3</v>
      </c>
      <c r="T39">
        <v>-61.568584139404116</v>
      </c>
    </row>
    <row r="40" spans="1:20" x14ac:dyDescent="0.15">
      <c r="A40">
        <v>16</v>
      </c>
      <c r="B40">
        <v>29.005982112647306</v>
      </c>
      <c r="C40">
        <v>-35.418578584785799</v>
      </c>
      <c r="D40">
        <v>-6.6864795009739373</v>
      </c>
      <c r="E40">
        <v>-0.10771548546877545</v>
      </c>
      <c r="F40">
        <v>2.9273141641562437</v>
      </c>
      <c r="G40">
        <v>-37.675140115389731</v>
      </c>
      <c r="H40">
        <v>-2.2854606912523265</v>
      </c>
      <c r="I40">
        <v>10.368017565205658</v>
      </c>
      <c r="J40">
        <v>3.3757451566843164</v>
      </c>
      <c r="K40">
        <v>-10.795540567867739</v>
      </c>
      <c r="L40">
        <v>1.2899888842653764E-2</v>
      </c>
      <c r="M40">
        <v>-7.0757957661253581</v>
      </c>
      <c r="N40">
        <v>1.8687579281722602</v>
      </c>
      <c r="O40">
        <v>-0.36080940632904257</v>
      </c>
      <c r="P40">
        <v>-60.833048425138202</v>
      </c>
      <c r="Q40">
        <v>11.138668993566215</v>
      </c>
      <c r="R40">
        <v>7.9664115587589768</v>
      </c>
      <c r="S40">
        <v>0.17809633830882363</v>
      </c>
      <c r="T40">
        <v>4.6547408122771419</v>
      </c>
    </row>
    <row r="41" spans="1:20" x14ac:dyDescent="0.15">
      <c r="A41">
        <v>17</v>
      </c>
      <c r="B41">
        <v>519.87984367165291</v>
      </c>
      <c r="C41">
        <v>-584.28387970493111</v>
      </c>
      <c r="D41">
        <v>140.61468751483815</v>
      </c>
      <c r="E41">
        <v>1.7295819699934156</v>
      </c>
      <c r="F41">
        <v>-184.83405569132407</v>
      </c>
      <c r="G41">
        <v>-1528.5934138962655</v>
      </c>
      <c r="H41">
        <v>-4.4256116942414518</v>
      </c>
      <c r="I41">
        <v>-215.41409177501959</v>
      </c>
      <c r="J41">
        <v>18.312640793978396</v>
      </c>
      <c r="K41">
        <v>-15.743878044614931</v>
      </c>
      <c r="L41">
        <v>0.85356900659882917</v>
      </c>
      <c r="M41">
        <v>-122.54422914161684</v>
      </c>
      <c r="N41">
        <v>71.232188289090431</v>
      </c>
      <c r="O41">
        <v>-58.552743967469027</v>
      </c>
      <c r="P41">
        <v>-57.766942519711122</v>
      </c>
      <c r="Q41">
        <v>7.9664115586059596</v>
      </c>
      <c r="R41">
        <v>1950.3682881333962</v>
      </c>
      <c r="S41">
        <v>2.4842085349292717</v>
      </c>
      <c r="T41">
        <v>904.80510902323476</v>
      </c>
    </row>
    <row r="42" spans="1:20" x14ac:dyDescent="0.15">
      <c r="A42">
        <v>18</v>
      </c>
      <c r="B42">
        <v>5.5959898223589608</v>
      </c>
      <c r="C42">
        <v>-6.5182427190807752</v>
      </c>
      <c r="D42">
        <v>1.5393053468071662</v>
      </c>
      <c r="E42">
        <v>2.4040052120212176E-2</v>
      </c>
      <c r="F42">
        <v>-4.139259367800042</v>
      </c>
      <c r="G42">
        <v>4.2572312555885716</v>
      </c>
      <c r="H42">
        <v>-0.49931924233027197</v>
      </c>
      <c r="I42">
        <v>-1.4738334220093912</v>
      </c>
      <c r="J42">
        <v>2.2907267439950595E-2</v>
      </c>
      <c r="K42">
        <v>0.14603611495195179</v>
      </c>
      <c r="L42">
        <v>1.9291127921679967E-2</v>
      </c>
      <c r="M42">
        <v>0.49761879424125655</v>
      </c>
      <c r="N42">
        <v>1.6181518283169032</v>
      </c>
      <c r="O42">
        <v>-1.6128590326890511</v>
      </c>
      <c r="P42">
        <v>9.9722600192892613E-3</v>
      </c>
      <c r="Q42">
        <v>0.17809633830764951</v>
      </c>
      <c r="R42">
        <v>2.484208534910306</v>
      </c>
      <c r="S42">
        <v>1.3926180841110227</v>
      </c>
      <c r="T42">
        <v>-0.49680766475057886</v>
      </c>
    </row>
    <row r="43" spans="1:20" x14ac:dyDescent="0.15">
      <c r="A43">
        <v>19</v>
      </c>
      <c r="B43">
        <v>231.65036013855098</v>
      </c>
      <c r="C43">
        <v>-246.17225357203091</v>
      </c>
      <c r="D43">
        <v>58.731009478531888</v>
      </c>
      <c r="E43">
        <v>1.2755158140037057</v>
      </c>
      <c r="F43">
        <v>-83.108650451406163</v>
      </c>
      <c r="G43">
        <v>-781.24239931297564</v>
      </c>
      <c r="H43">
        <v>-2.458034610190202</v>
      </c>
      <c r="I43">
        <v>-88.714238220128394</v>
      </c>
      <c r="J43">
        <v>13.567292194737973</v>
      </c>
      <c r="K43">
        <v>-20.147669780365046</v>
      </c>
      <c r="L43">
        <v>0.3958063089312589</v>
      </c>
      <c r="M43">
        <v>-59.819635086652646</v>
      </c>
      <c r="N43">
        <v>32.98058757465278</v>
      </c>
      <c r="O43">
        <v>-24.845440681751516</v>
      </c>
      <c r="P43">
        <v>-61.568584138939443</v>
      </c>
      <c r="Q43">
        <v>4.6547408122125606</v>
      </c>
      <c r="R43">
        <v>904.80510902337619</v>
      </c>
      <c r="S43">
        <v>-0.49680766474119525</v>
      </c>
      <c r="T43">
        <v>456.93539258240679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3"/>
  <sheetViews>
    <sheetView workbookViewId="0">
      <selection activeCell="D22" sqref="D22"/>
    </sheetView>
  </sheetViews>
  <sheetFormatPr defaultRowHeight="13.5" x14ac:dyDescent="0.15"/>
  <sheetData>
    <row r="1" spans="1:2" x14ac:dyDescent="0.15">
      <c r="A1">
        <v>1</v>
      </c>
      <c r="B1">
        <v>1</v>
      </c>
    </row>
    <row r="2" spans="1:2" x14ac:dyDescent="0.15">
      <c r="A2">
        <v>2</v>
      </c>
      <c r="B2">
        <v>1</v>
      </c>
    </row>
    <row r="3" spans="1:2" x14ac:dyDescent="0.15">
      <c r="A3">
        <v>3</v>
      </c>
      <c r="B3">
        <v>1</v>
      </c>
    </row>
    <row r="4" spans="1:2" x14ac:dyDescent="0.15">
      <c r="A4">
        <v>4</v>
      </c>
      <c r="B4">
        <v>1</v>
      </c>
    </row>
    <row r="5" spans="1:2" x14ac:dyDescent="0.15">
      <c r="A5">
        <v>5</v>
      </c>
      <c r="B5">
        <v>1</v>
      </c>
    </row>
    <row r="6" spans="1:2" x14ac:dyDescent="0.15">
      <c r="A6">
        <v>6</v>
      </c>
      <c r="B6">
        <v>1</v>
      </c>
    </row>
    <row r="7" spans="1:2" x14ac:dyDescent="0.15">
      <c r="A7">
        <v>7</v>
      </c>
      <c r="B7">
        <v>1</v>
      </c>
    </row>
    <row r="8" spans="1:2" x14ac:dyDescent="0.15">
      <c r="A8">
        <v>8</v>
      </c>
      <c r="B8">
        <v>1</v>
      </c>
    </row>
    <row r="9" spans="1:2" x14ac:dyDescent="0.15">
      <c r="A9">
        <v>9</v>
      </c>
      <c r="B9">
        <v>1</v>
      </c>
    </row>
    <row r="10" spans="1:2" x14ac:dyDescent="0.15">
      <c r="A10">
        <v>10</v>
      </c>
      <c r="B10">
        <v>1</v>
      </c>
    </row>
    <row r="11" spans="1:2" x14ac:dyDescent="0.15">
      <c r="A11">
        <v>11</v>
      </c>
      <c r="B11">
        <v>1</v>
      </c>
    </row>
    <row r="12" spans="1:2" x14ac:dyDescent="0.15">
      <c r="A12">
        <v>12</v>
      </c>
      <c r="B12">
        <v>1</v>
      </c>
    </row>
    <row r="13" spans="1:2" x14ac:dyDescent="0.15">
      <c r="A13">
        <v>13</v>
      </c>
      <c r="B13">
        <v>1</v>
      </c>
    </row>
    <row r="14" spans="1:2" x14ac:dyDescent="0.15">
      <c r="A14">
        <v>14</v>
      </c>
      <c r="B14">
        <v>1</v>
      </c>
    </row>
    <row r="15" spans="1:2" x14ac:dyDescent="0.15">
      <c r="A15">
        <v>15</v>
      </c>
      <c r="B15">
        <v>1</v>
      </c>
    </row>
    <row r="16" spans="1:2" x14ac:dyDescent="0.15">
      <c r="A16">
        <v>16</v>
      </c>
      <c r="B16">
        <v>1</v>
      </c>
    </row>
    <row r="17" spans="1:2" x14ac:dyDescent="0.15">
      <c r="A17">
        <v>17</v>
      </c>
      <c r="B17">
        <v>1</v>
      </c>
    </row>
    <row r="18" spans="1:2" x14ac:dyDescent="0.15">
      <c r="A18">
        <v>18</v>
      </c>
      <c r="B18">
        <v>1</v>
      </c>
    </row>
    <row r="19" spans="1:2" x14ac:dyDescent="0.15">
      <c r="A19">
        <v>19</v>
      </c>
      <c r="B19">
        <v>0</v>
      </c>
    </row>
    <row r="21" spans="1:2" x14ac:dyDescent="0.15">
      <c r="A21" t="s">
        <v>163</v>
      </c>
      <c r="B21">
        <v>18</v>
      </c>
    </row>
    <row r="23" spans="1:2" x14ac:dyDescent="0.15">
      <c r="A23" t="s">
        <v>164</v>
      </c>
      <c r="B23" t="s">
        <v>173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人類学的標記点</vt:lpstr>
      <vt:lpstr>人類学的計測長</vt:lpstr>
      <vt:lpstr>人類学的計測指数</vt:lpstr>
      <vt:lpstr>平均</vt:lpstr>
      <vt:lpstr>共分散行列(男)</vt:lpstr>
      <vt:lpstr>共分散行列(女)</vt:lpstr>
      <vt:lpstr>縮減行列と逆行列</vt:lpstr>
      <vt:lpstr>debug</vt:lpstr>
      <vt:lpstr>人類学的計測指数!Print_Area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2026-05-25T10:04:52Z</dcterms:created>
  <dcterms:modified xsi:type="dcterms:W3CDTF">2026-06-06T09:54:24Z</dcterms:modified>
</cp:coreProperties>
</file>